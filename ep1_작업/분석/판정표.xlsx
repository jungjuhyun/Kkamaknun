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  <sheet name="요약" sheetId="2" state="visible" r:id="rId2"/>
    <sheet name="안내" sheetId="3" state="visible" r:id="rId3"/>
  </sheets>
  <definedNames>
    <definedName name="_xlnm._FilterDatabase" localSheetId="0" hidden="1">'판정'!$A$1:$K$670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808080"/>
      <sz val="9"/>
    </font>
    <font>
      <name val="Arial"/>
      <b val="1"/>
      <sz val="12"/>
    </font>
  </fonts>
  <fills count="11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DE7F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11" customWidth="1" min="4" max="4"/>
    <col width="36" customWidth="1" min="5" max="5"/>
    <col width="11" customWidth="1" min="6" max="6"/>
    <col width="26" customWidth="1" min="7" max="7"/>
    <col width="40" customWidth="1" min="8" max="8"/>
    <col width="11" customWidth="1" min="9" max="9"/>
    <col width="12" customWidth="1" min="10" max="10"/>
    <col width="20" customWidth="1" min="11" max="11"/>
  </cols>
  <sheetData>
    <row r="1">
      <c r="A1" s="1" t="inlineStr">
        <is>
          <t>번호</t>
        </is>
      </c>
      <c r="B1" s="1" t="inlineStr">
        <is>
          <t>시각</t>
        </is>
      </c>
      <c r="C1" s="1" t="inlineStr">
        <is>
          <t>내 말</t>
        </is>
      </c>
      <c r="D1" s="1" t="inlineStr">
        <is>
          <t>유형</t>
        </is>
      </c>
      <c r="E1" s="1" t="inlineStr">
        <is>
          <t>대상 애니 대사</t>
        </is>
      </c>
      <c r="F1" s="1" t="inlineStr">
        <is>
          <t>판정</t>
        </is>
      </c>
      <c r="G1" s="1" t="inlineStr">
        <is>
          <t>판정 이유</t>
        </is>
      </c>
      <c r="H1" s="1" t="inlineStr">
        <is>
          <t>그 순간 애니 대사(참고)</t>
        </is>
      </c>
      <c r="I1" s="1" t="inlineStr">
        <is>
          <t>사용자 확인</t>
        </is>
      </c>
      <c r="J1" s="1" t="inlineStr">
        <is>
          <t>고친 판정</t>
        </is>
      </c>
      <c r="K1" s="1" t="inlineStr">
        <is>
          <t>메모</t>
        </is>
      </c>
    </row>
    <row r="2">
      <c r="A2" s="2" t="n">
        <v>0</v>
      </c>
      <c r="B2" s="2" t="inlineStr">
        <is>
          <t>0:07.8</t>
        </is>
      </c>
      <c r="C2" s="3" t="inlineStr">
        <is>
          <t>마파</t>
        </is>
      </c>
      <c r="D2" s="3" t="inlineStr">
        <is>
          <t>반응·혼잣말</t>
        </is>
      </c>
      <c r="E2" s="2" t="inlineStr"/>
      <c r="F2" s="2" t="inlineStr"/>
      <c r="G2" s="2" t="inlineStr"/>
      <c r="H2" s="3" t="inlineStr"/>
      <c r="I2" s="4" t="n"/>
      <c r="J2" s="4" t="n"/>
      <c r="K2" s="4" t="n"/>
    </row>
    <row r="3">
      <c r="A3" s="2" t="n">
        <v>1</v>
      </c>
      <c r="B3" s="2" t="inlineStr">
        <is>
          <t>0:18.0</t>
        </is>
      </c>
      <c r="C3" s="3" t="inlineStr">
        <is>
          <t>(숨을 들이마시고 헛기침하는 소리)</t>
        </is>
      </c>
      <c r="D3" s="3" t="inlineStr">
        <is>
          <t>소리·감탄</t>
        </is>
      </c>
      <c r="E3" s="2" t="inlineStr"/>
      <c r="F3" s="2" t="inlineStr"/>
      <c r="G3" s="2" t="inlineStr"/>
      <c r="H3" s="3" t="inlineStr"/>
      <c r="I3" s="4" t="n"/>
      <c r="J3" s="4" t="n"/>
      <c r="K3" s="4" t="n"/>
    </row>
    <row r="4">
      <c r="A4" s="2" t="n">
        <v>2</v>
      </c>
      <c r="B4" s="2" t="inlineStr">
        <is>
          <t>0:27.0</t>
        </is>
      </c>
      <c r="C4" s="3" t="inlineStr">
        <is>
          <t>시작</t>
        </is>
      </c>
      <c r="D4" s="3" t="inlineStr">
        <is>
          <t>반응·혼잣말</t>
        </is>
      </c>
      <c r="E4" s="2" t="inlineStr"/>
      <c r="F4" s="2" t="inlineStr"/>
      <c r="G4" s="2" t="inlineStr"/>
      <c r="H4" s="3" t="inlineStr"/>
      <c r="I4" s="4" t="n"/>
      <c r="J4" s="4" t="n"/>
      <c r="K4" s="4" t="n"/>
    </row>
    <row r="5">
      <c r="A5" s="2" t="n">
        <v>3</v>
      </c>
      <c r="B5" s="2" t="inlineStr">
        <is>
          <t>0:49.3</t>
        </is>
      </c>
      <c r="C5" s="2" t="inlineStr">
        <is>
          <t>いつも</t>
        </is>
      </c>
      <c r="D5" s="5" t="inlineStr">
        <is>
          <t>따라함</t>
        </is>
      </c>
      <c r="E5" s="5" t="inlineStr">
        <is>
          <t>（デンジ）いつも見る夢だ</t>
        </is>
      </c>
      <c r="F5" s="5" t="inlineStr">
        <is>
          <t>맞음</t>
        </is>
      </c>
      <c r="G5" s="5" t="inlineStr"/>
      <c r="H5" s="3" t="inlineStr">
        <is>
          <t>（デンジ）いつも見る夢だ / いつも見て いつも忘れる夢…</t>
        </is>
      </c>
      <c r="I5" s="4" t="n"/>
      <c r="J5" s="4" t="n"/>
      <c r="K5" s="4" t="n"/>
    </row>
    <row r="6">
      <c r="A6" s="2" t="n">
        <v>4</v>
      </c>
      <c r="B6" s="2" t="inlineStr">
        <is>
          <t>0:51.5</t>
        </is>
      </c>
      <c r="C6" s="2" t="inlineStr">
        <is>
          <t>見る夢だ</t>
        </is>
      </c>
      <c r="D6" s="5" t="inlineStr">
        <is>
          <t>따라함</t>
        </is>
      </c>
      <c r="E6" s="5" t="inlineStr">
        <is>
          <t>（デンジ）いつも見る夢だ</t>
        </is>
      </c>
      <c r="F6" s="5" t="inlineStr">
        <is>
          <t>맞음</t>
        </is>
      </c>
      <c r="G6" s="5" t="inlineStr"/>
      <c r="H6" s="3" t="inlineStr">
        <is>
          <t>（デンジ）いつも見る夢だ / いつも見て いつも忘れる夢…</t>
        </is>
      </c>
      <c r="I6" s="4" t="n"/>
      <c r="J6" s="4" t="n"/>
      <c r="K6" s="4" t="n"/>
    </row>
    <row r="7">
      <c r="A7" s="2" t="n">
        <v>5</v>
      </c>
      <c r="B7" s="2" t="inlineStr">
        <is>
          <t>0:52.8</t>
        </is>
      </c>
      <c r="C7" s="2" t="inlineStr">
        <is>
          <t>항상보는</t>
        </is>
      </c>
      <c r="D7" s="5" t="inlineStr">
        <is>
          <t>옮김</t>
        </is>
      </c>
      <c r="E7" s="5" t="inlineStr">
        <is>
          <t>（デンジ）いつも見る夢だ</t>
        </is>
      </c>
      <c r="F7" s="5" t="inlineStr">
        <is>
          <t>맞음</t>
        </is>
      </c>
      <c r="G7" s="5" t="inlineStr">
        <is>
          <t>いつも見る → 항상 보는</t>
        </is>
      </c>
      <c r="H7" s="3" t="inlineStr">
        <is>
          <t>（デンジ）いつも見る夢だ / いつも見て いつも忘れる夢…</t>
        </is>
      </c>
      <c r="I7" s="4" t="n"/>
      <c r="J7" s="4" t="n"/>
      <c r="K7" s="4" t="n"/>
    </row>
    <row r="8">
      <c r="A8" s="2" t="n">
        <v>6</v>
      </c>
      <c r="B8" s="2" t="inlineStr">
        <is>
          <t>0:55.4</t>
        </is>
      </c>
      <c r="C8" s="2" t="inlineStr">
        <is>
          <t>꿈이다</t>
        </is>
      </c>
      <c r="D8" s="5" t="inlineStr">
        <is>
          <t>옮김</t>
        </is>
      </c>
      <c r="E8" s="5" t="inlineStr">
        <is>
          <t>（デンジ）いつも見る夢だ</t>
        </is>
      </c>
      <c r="F8" s="5" t="inlineStr">
        <is>
          <t>맞음</t>
        </is>
      </c>
      <c r="G8" s="5" t="inlineStr">
        <is>
          <t>夢だ → 꿈이다</t>
        </is>
      </c>
      <c r="H8" s="3" t="inlineStr">
        <is>
          <t>（デンジ）いつも見る夢だ / いつも見て いつも忘れる夢…</t>
        </is>
      </c>
      <c r="I8" s="4" t="n"/>
      <c r="J8" s="4" t="n"/>
      <c r="K8" s="4" t="n"/>
    </row>
    <row r="9">
      <c r="A9" s="2" t="n">
        <v>7</v>
      </c>
      <c r="B9" s="2" t="inlineStr">
        <is>
          <t>0:57.0</t>
        </is>
      </c>
      <c r="C9" s="2" t="inlineStr">
        <is>
          <t>항상 보고</t>
        </is>
      </c>
      <c r="D9" s="5" t="inlineStr">
        <is>
          <t>옮김</t>
        </is>
      </c>
      <c r="E9" s="5" t="inlineStr">
        <is>
          <t>いつも見て いつも忘れる夢…</t>
        </is>
      </c>
      <c r="F9" s="5" t="inlineStr">
        <is>
          <t>맞음</t>
        </is>
      </c>
      <c r="G9" s="5" t="inlineStr">
        <is>
          <t>いつも見て → 항상 보고</t>
        </is>
      </c>
      <c r="H9" s="3" t="inlineStr">
        <is>
          <t>（デンジ）いつも見る夢だ / いつも見て いつも忘れる夢…</t>
        </is>
      </c>
      <c r="I9" s="4" t="n"/>
      <c r="J9" s="4" t="n"/>
      <c r="K9" s="4" t="n"/>
    </row>
    <row r="10">
      <c r="A10" s="2" t="n">
        <v>8</v>
      </c>
      <c r="B10" s="2" t="inlineStr">
        <is>
          <t>0:58.9</t>
        </is>
      </c>
      <c r="C10" s="2" t="inlineStr">
        <is>
          <t>항상 잊는 꿈</t>
        </is>
      </c>
      <c r="D10" s="5" t="inlineStr">
        <is>
          <t>옮김</t>
        </is>
      </c>
      <c r="E10" s="5" t="inlineStr">
        <is>
          <t>いつも見て いつも忘れる夢…</t>
        </is>
      </c>
      <c r="F10" s="5" t="inlineStr">
        <is>
          <t>맞음</t>
        </is>
      </c>
      <c r="G10" s="5" t="inlineStr">
        <is>
          <t>いつも忘れる夢 → 항상 잊는 꿈</t>
        </is>
      </c>
      <c r="H10" s="3" t="inlineStr">
        <is>
          <t>（デンジ）いつも見る夢だ / いつも見て いつも忘れる夢…</t>
        </is>
      </c>
      <c r="I10" s="4" t="n"/>
      <c r="J10" s="4" t="n"/>
      <c r="K10" s="4" t="n"/>
    </row>
    <row r="11">
      <c r="A11" s="2" t="n">
        <v>9</v>
      </c>
      <c r="B11" s="2" t="inlineStr">
        <is>
          <t>1:16.0</t>
        </is>
      </c>
      <c r="C11" s="2" t="inlineStr">
        <is>
          <t>ポチタ出てこいよ</t>
        </is>
      </c>
      <c r="D11" s="5" t="inlineStr">
        <is>
          <t>따라함</t>
        </is>
      </c>
      <c r="E11" s="5" t="inlineStr">
        <is>
          <t>ポチタ 出てこいよ</t>
        </is>
      </c>
      <c r="F11" s="5" t="inlineStr">
        <is>
          <t>맞음</t>
        </is>
      </c>
      <c r="G11" s="5" t="inlineStr"/>
      <c r="H11" s="3" t="inlineStr">
        <is>
          <t>（ポチタ）デンジ / （幼少期デンジ）あ… ポチタ！ / ポチタ 出てこいよ</t>
        </is>
      </c>
      <c r="I11" s="4" t="n"/>
      <c r="J11" s="4" t="n"/>
      <c r="K11" s="4" t="n"/>
    </row>
    <row r="12">
      <c r="A12" s="2" t="n">
        <v>10</v>
      </c>
      <c r="B12" s="2" t="inlineStr">
        <is>
          <t>1:17.8</t>
        </is>
      </c>
      <c r="C12" s="2" t="inlineStr">
        <is>
          <t>포치타 나와</t>
        </is>
      </c>
      <c r="D12" s="5" t="inlineStr">
        <is>
          <t>옮김</t>
        </is>
      </c>
      <c r="E12" s="5" t="inlineStr">
        <is>
          <t>ポチタ 出てこいよ</t>
        </is>
      </c>
      <c r="F12" s="5" t="inlineStr">
        <is>
          <t>맞음</t>
        </is>
      </c>
      <c r="G12" s="5" t="inlineStr"/>
      <c r="H12" s="3" t="inlineStr">
        <is>
          <t>（ポチタ）デンジ / （幼少期デンジ）あ… ポチタ！ / ポチタ 出てこいよ</t>
        </is>
      </c>
      <c r="I12" s="4" t="n"/>
      <c r="J12" s="4" t="n"/>
      <c r="K12" s="4" t="n"/>
    </row>
    <row r="13">
      <c r="A13" s="2" t="n">
        <v>11</v>
      </c>
      <c r="B13" s="2" t="inlineStr">
        <is>
          <t>1:20.0</t>
        </is>
      </c>
      <c r="C13" s="3" t="inlineStr">
        <is>
          <t>(숨 들이마시는 소리)</t>
        </is>
      </c>
      <c r="D13" s="3" t="inlineStr">
        <is>
          <t>소리·감탄</t>
        </is>
      </c>
      <c r="E13" s="2" t="inlineStr"/>
      <c r="F13" s="2" t="inlineStr"/>
      <c r="G13" s="2" t="inlineStr"/>
      <c r="H13" s="3" t="inlineStr">
        <is>
          <t>（幼少期デンジ）あ… ポチタ！ / ポチタ 出てこいよ / ポチタ 出てこいよ</t>
        </is>
      </c>
      <c r="I13" s="4" t="n"/>
      <c r="J13" s="4" t="n"/>
      <c r="K13" s="4" t="n"/>
    </row>
    <row r="14">
      <c r="A14" s="2" t="n">
        <v>12</v>
      </c>
      <c r="B14" s="2" t="inlineStr">
        <is>
          <t>1:23.0</t>
        </is>
      </c>
      <c r="C14" s="2" t="inlineStr">
        <is>
          <t>음 무슨 말인지 몰라</t>
        </is>
      </c>
      <c r="D14" s="6" t="inlineStr">
        <is>
          <t>못알아들음</t>
        </is>
      </c>
      <c r="E14" s="6" t="inlineStr">
        <is>
          <t>夢の中くらい 撫(な)でさせてくれ</t>
        </is>
      </c>
      <c r="F14" s="6" t="inlineStr">
        <is>
          <t>못 알아들음</t>
        </is>
      </c>
      <c r="G14" s="6" t="inlineStr"/>
      <c r="H14" s="3" t="inlineStr">
        <is>
          <t>ポチタ 出てこいよ / 夢の中くらい 撫(な)でさせてくれ / （ポチタ）デンジ</t>
        </is>
      </c>
      <c r="I14" s="4" t="n"/>
      <c r="J14" s="4" t="n"/>
      <c r="K14" s="4" t="n"/>
    </row>
    <row r="15">
      <c r="A15" s="2" t="n">
        <v>13</v>
      </c>
      <c r="B15" s="2" t="inlineStr">
        <is>
          <t>1:34.0</t>
        </is>
      </c>
      <c r="C15" s="2" t="inlineStr">
        <is>
          <t>絶対に開けちゃダメだ</t>
        </is>
      </c>
      <c r="D15" s="5" t="inlineStr">
        <is>
          <t>따라함</t>
        </is>
      </c>
      <c r="E15" s="5" t="inlineStr">
        <is>
          <t>（ポチタ） 絶対に開けちゃダメだ</t>
        </is>
      </c>
      <c r="F15" s="5" t="inlineStr">
        <is>
          <t>맞음</t>
        </is>
      </c>
      <c r="G15" s="5" t="inlineStr"/>
      <c r="H15" s="3" t="inlineStr">
        <is>
          <t>（ポチタ）デンジ / [추정] （ポチタ） 絶対に開けちゃダメだ / [추정] ハッ…</t>
        </is>
      </c>
      <c r="I15" s="4" t="n"/>
      <c r="J15" s="4" t="n"/>
      <c r="K15" s="4" t="n"/>
    </row>
    <row r="16">
      <c r="A16" s="2" t="n">
        <v>14</v>
      </c>
      <c r="B16" s="2" t="inlineStr">
        <is>
          <t>1:36.8</t>
        </is>
      </c>
      <c r="C16" s="2" t="inlineStr">
        <is>
          <t>절대로 열면 안 돼</t>
        </is>
      </c>
      <c r="D16" s="5" t="inlineStr">
        <is>
          <t>옮김</t>
        </is>
      </c>
      <c r="E16" s="5" t="inlineStr">
        <is>
          <t>[추정] （ポチタ） 絶対に開けちゃダメだ</t>
        </is>
      </c>
      <c r="F16" s="5" t="inlineStr">
        <is>
          <t>맞음</t>
        </is>
      </c>
      <c r="G16" s="5" t="inlineStr"/>
      <c r="H16" s="3" t="inlineStr">
        <is>
          <t>（ポチタ）デンジ / [추정] （ポチタ） 絶対に開けちゃダメだ / [추정] ハッ…</t>
        </is>
      </c>
      <c r="I16" s="4" t="n"/>
      <c r="J16" s="4" t="n"/>
      <c r="K16" s="4" t="n"/>
    </row>
    <row r="17">
      <c r="A17" s="2" t="n">
        <v>15</v>
      </c>
      <c r="B17" s="2" t="inlineStr">
        <is>
          <t>2:04.7</t>
        </is>
      </c>
      <c r="C17" s="2" t="inlineStr">
        <is>
          <t>なんだうるさいな</t>
        </is>
      </c>
      <c r="D17" s="7" t="inlineStr">
        <is>
          <t>따라함</t>
        </is>
      </c>
      <c r="E17" s="7" t="inlineStr">
        <is>
          <t>なんじゃ　うるさいのお…！</t>
        </is>
      </c>
      <c r="F17" s="7" t="inlineStr">
        <is>
          <t>대체로 맞음</t>
        </is>
      </c>
      <c r="G17" s="7" t="inlineStr">
        <is>
          <t>파워 말투 なんじゃ…のお를 표준어 なんだ…な로</t>
        </is>
      </c>
      <c r="H17" s="3" t="inlineStr">
        <is>
          <t>なんじゃ　うるさいのお…！ / はあ… / なんか悪夢を…</t>
        </is>
      </c>
      <c r="I17" s="4" t="n"/>
      <c r="J17" s="4" t="n"/>
      <c r="K17" s="4" t="n"/>
    </row>
    <row r="18">
      <c r="A18" s="2" t="n">
        <v>16</v>
      </c>
      <c r="B18" s="2" t="inlineStr">
        <is>
          <t>2:06.0</t>
        </is>
      </c>
      <c r="C18" s="2" t="inlineStr">
        <is>
          <t>뭐야 시끄럽게</t>
        </is>
      </c>
      <c r="D18" s="5" t="inlineStr">
        <is>
          <t>옮김</t>
        </is>
      </c>
      <c r="E18" s="5" t="inlineStr">
        <is>
          <t>なんじゃ　うるさいのお…！</t>
        </is>
      </c>
      <c r="F18" s="5" t="inlineStr">
        <is>
          <t>맞음</t>
        </is>
      </c>
      <c r="G18" s="5" t="inlineStr"/>
      <c r="H18" s="3" t="inlineStr">
        <is>
          <t>なんじゃ　うるさいのお…！ / はあ… / なんか悪夢を…</t>
        </is>
      </c>
      <c r="I18" s="4" t="n"/>
      <c r="J18" s="4" t="n"/>
      <c r="K18" s="4" t="n"/>
    </row>
    <row r="19">
      <c r="A19" s="2" t="n">
        <v>17</v>
      </c>
      <c r="B19" s="2" t="inlineStr">
        <is>
          <t>2:11.0</t>
        </is>
      </c>
      <c r="C19" s="2" t="inlineStr">
        <is>
          <t>뭔가 악몽을</t>
        </is>
      </c>
      <c r="D19" s="5" t="inlineStr">
        <is>
          <t>옮김</t>
        </is>
      </c>
      <c r="E19" s="5" t="inlineStr">
        <is>
          <t>なんか悪夢を…</t>
        </is>
      </c>
      <c r="F19" s="5" t="inlineStr">
        <is>
          <t>맞음</t>
        </is>
      </c>
      <c r="G19" s="5" t="inlineStr"/>
      <c r="H19" s="3" t="inlineStr">
        <is>
          <t>はあ… / なんか悪夢を… / なんか悪夢を…</t>
        </is>
      </c>
      <c r="I19" s="4" t="n"/>
      <c r="J19" s="4" t="n"/>
      <c r="K19" s="4" t="n"/>
    </row>
    <row r="20">
      <c r="A20" s="2" t="n">
        <v>18</v>
      </c>
      <c r="B20" s="2" t="inlineStr">
        <is>
          <t>2:26.0</t>
        </is>
      </c>
      <c r="C20" s="2" t="inlineStr">
        <is>
          <t>이거 아직 꿈?</t>
        </is>
      </c>
      <c r="D20" s="5" t="inlineStr">
        <is>
          <t>옮김</t>
        </is>
      </c>
      <c r="E20" s="5" t="inlineStr">
        <is>
          <t>まだこれ夢？</t>
        </is>
      </c>
      <c r="F20" s="5" t="inlineStr">
        <is>
          <t>맞음</t>
        </is>
      </c>
      <c r="G20" s="5" t="inlineStr"/>
      <c r="H20" s="3" t="inlineStr">
        <is>
          <t>なんか悪夢を… / [시각추정] （デンジ）ん～… / [추정] まだこれ夢？</t>
        </is>
      </c>
      <c r="I20" s="4" t="n"/>
      <c r="J20" s="4" t="n"/>
      <c r="K20" s="4" t="n"/>
    </row>
    <row r="21">
      <c r="A21" s="2" t="n">
        <v>19</v>
      </c>
      <c r="B21" s="2" t="inlineStr">
        <is>
          <t>2:32.0</t>
        </is>
      </c>
      <c r="C21" s="2" t="inlineStr">
        <is>
          <t>아 이거 많이 들었는데 까먹었네</t>
        </is>
      </c>
      <c r="D21" s="6" t="inlineStr">
        <is>
          <t>못알아들음</t>
        </is>
      </c>
      <c r="E21" s="6" t="inlineStr">
        <is>
          <t>（パワー）なに寝ぼけとるんじゃ！</t>
        </is>
      </c>
      <c r="F21" s="6" t="inlineStr">
        <is>
          <t>못 알아들음</t>
        </is>
      </c>
      <c r="G21" s="6" t="inlineStr">
        <is>
          <t>많이 들었는데 까먹었다고 함</t>
        </is>
      </c>
      <c r="H21" s="3" t="inlineStr">
        <is>
          <t>がっ…！ / かはっ！ / うっ…！</t>
        </is>
      </c>
      <c r="I21" s="4" t="n"/>
      <c r="J21" s="4" t="n"/>
      <c r="K21" s="4" t="n"/>
    </row>
    <row r="22">
      <c r="A22" s="2" t="n">
        <v>20</v>
      </c>
      <c r="B22" s="2" t="inlineStr">
        <is>
          <t>2:34.9</t>
        </is>
      </c>
      <c r="C22" s="2" t="inlineStr">
        <is>
          <t>잠꼬대하냐 이런 건데</t>
        </is>
      </c>
      <c r="D22" s="7" t="inlineStr">
        <is>
          <t>추측</t>
        </is>
      </c>
      <c r="E22" s="7" t="inlineStr">
        <is>
          <t>（パワー）なに寝ぼけとるんじゃ！</t>
        </is>
      </c>
      <c r="F22" s="7" t="inlineStr">
        <is>
          <t>대체로 맞음</t>
        </is>
      </c>
      <c r="G22" s="7" t="inlineStr">
        <is>
          <t>寝ぼける(잠이 덜 깨다)를 잠꼬대로 짐작</t>
        </is>
      </c>
      <c r="H22" s="3" t="inlineStr">
        <is>
          <t>かはっ！ / うっ…！ / ん…</t>
        </is>
      </c>
      <c r="I22" s="4" t="n"/>
      <c r="J22" s="4" t="n"/>
      <c r="K22" s="4" t="n"/>
    </row>
    <row r="23">
      <c r="A23" s="2" t="n">
        <v>21</v>
      </c>
      <c r="B23" s="2" t="inlineStr">
        <is>
          <t>2:47.0</t>
        </is>
      </c>
      <c r="C23" s="2" t="inlineStr">
        <is>
          <t>꿈이 아니잖아</t>
        </is>
      </c>
      <c r="D23" s="5" t="inlineStr">
        <is>
          <t>옮김</t>
        </is>
      </c>
      <c r="E23" s="5" t="inlineStr">
        <is>
          <t>夢じゃ… ねえ…</t>
        </is>
      </c>
      <c r="F23" s="5" t="inlineStr">
        <is>
          <t>맞음</t>
        </is>
      </c>
      <c r="G23" s="5" t="inlineStr"/>
      <c r="H23" s="3" t="inlineStr">
        <is>
          <t>なアんじゃ このパワーは!? / （デンジ）うっ / 夢じゃ… ねえ…</t>
        </is>
      </c>
      <c r="I23" s="4" t="n"/>
      <c r="J23" s="4" t="n"/>
      <c r="K23" s="4" t="n"/>
    </row>
    <row r="24">
      <c r="A24" s="2" t="n">
        <v>22</v>
      </c>
      <c r="B24" s="2" t="inlineStr">
        <is>
          <t>2:51.0</t>
        </is>
      </c>
      <c r="C24" s="3" t="inlineStr">
        <is>
          <t>음</t>
        </is>
      </c>
      <c r="D24" s="3" t="inlineStr">
        <is>
          <t>소리·감탄</t>
        </is>
      </c>
      <c r="E24" s="2" t="inlineStr"/>
      <c r="F24" s="2" t="inlineStr"/>
      <c r="G24" s="2" t="inlineStr"/>
      <c r="H24" s="3" t="inlineStr">
        <is>
          <t>なアんじゃ このパワーは!? / （デンジ）うっ / 夢じゃ… ねえ…</t>
        </is>
      </c>
      <c r="I24" s="4" t="n"/>
      <c r="J24" s="4" t="n"/>
      <c r="K24" s="4" t="n"/>
    </row>
    <row r="25">
      <c r="A25" s="2" t="n">
        <v>23</v>
      </c>
      <c r="B25" s="2" t="inlineStr">
        <is>
          <t>3:20.0</t>
        </is>
      </c>
      <c r="C25" s="3" t="inlineStr">
        <is>
          <t>응? 마키마?</t>
        </is>
      </c>
      <c r="D25" s="3" t="inlineStr">
        <is>
          <t>반응·혼잣말</t>
        </is>
      </c>
      <c r="E25" s="2" t="inlineStr"/>
      <c r="F25" s="2" t="inlineStr"/>
      <c r="G25" s="2" t="inlineStr"/>
      <c r="H25" s="3" t="inlineStr">
        <is>
          <t>[시각추정] ♪ ダーリンベイビーダーリン / [시각추정] ♪ 半端なくラブ！ときらめき / [시각추정] ♪ 浮き足立つフィロソフィ</t>
        </is>
      </c>
      <c r="I25" s="4" t="n"/>
      <c r="J25" s="4" t="n"/>
      <c r="K25" s="4" t="n"/>
    </row>
    <row r="26">
      <c r="A26" s="2" t="n">
        <v>24</v>
      </c>
      <c r="B26" s="2" t="inlineStr">
        <is>
          <t>3:55.0</t>
        </is>
      </c>
      <c r="C26" s="3" t="inlineStr">
        <is>
          <t>포치타 귀엽네.</t>
        </is>
      </c>
      <c r="D26" s="3" t="inlineStr">
        <is>
          <t>반응·혼잣말</t>
        </is>
      </c>
      <c r="E26" s="2" t="inlineStr"/>
      <c r="F26" s="2" t="inlineStr"/>
      <c r="G26" s="2" t="inlineStr"/>
      <c r="H26" s="3" t="inlineStr">
        <is>
          <t>[시각추정] ♪ ザラメが溶けてゲロになりそう / [시각추정] ♪ 瞳孔バチ開いて溺れ死にそう / [시각추정] ♪ 今この世で君だけ大正解</t>
        </is>
      </c>
      <c r="I26" s="4" t="n"/>
      <c r="J26" s="4" t="n"/>
      <c r="K26" s="4" t="n"/>
    </row>
    <row r="27">
      <c r="A27" s="2" t="n">
        <v>25</v>
      </c>
      <c r="B27" s="2" t="inlineStr">
        <is>
          <t>5:17.0</t>
        </is>
      </c>
      <c r="C27" s="3" t="inlineStr">
        <is>
          <t>잠깐만.</t>
        </is>
      </c>
      <c r="D27" s="3" t="inlineStr">
        <is>
          <t>반응·혼잣말</t>
        </is>
      </c>
      <c r="E27" s="2" t="inlineStr"/>
      <c r="F27" s="2" t="inlineStr"/>
      <c r="G27" s="2" t="inlineStr"/>
      <c r="H27" s="3" t="inlineStr">
        <is>
          <t>[시각추정] ♪ ザラメが溶けてゲロになりそう / [시각추정] ♪ 瞳孔バチ開いて溺れ死にそう / [시각추정] ♪ 今この世で君だけ大正解</t>
        </is>
      </c>
      <c r="I27" s="4" t="n"/>
      <c r="J27" s="4" t="n"/>
      <c r="K27" s="4" t="n"/>
    </row>
    <row r="28">
      <c r="A28" s="2" t="n">
        <v>26</v>
      </c>
      <c r="B28" s="2" t="inlineStr">
        <is>
          <t>5:19.0</t>
        </is>
      </c>
      <c r="C28" s="3" t="inlineStr">
        <is>
          <t>가타카나 한번 읽어봅시다.</t>
        </is>
      </c>
      <c r="D28" s="3" t="inlineStr">
        <is>
          <t>반응·혼잣말</t>
        </is>
      </c>
      <c r="E28" s="2" t="inlineStr"/>
      <c r="F28" s="2" t="inlineStr"/>
      <c r="G28" s="2" t="inlineStr"/>
      <c r="H28" s="3" t="inlineStr">
        <is>
          <t>[시각추정] ♪ ザラメが溶けてゲロになりそう / [시각추정] ♪ 瞳孔バチ開いて溺れ死にそう / [시각추정] ♪ 今この世で君だけ大正解</t>
        </is>
      </c>
      <c r="I28" s="4" t="n"/>
      <c r="J28" s="4" t="n"/>
      <c r="K28" s="4" t="n"/>
    </row>
    <row r="29">
      <c r="A29" s="2" t="n">
        <v>27</v>
      </c>
      <c r="B29" s="2" t="inlineStr">
        <is>
          <t>5:22.4</t>
        </is>
      </c>
      <c r="C29" s="3" t="inlineStr">
        <is>
          <t>체인소 맨인 건 알지만.</t>
        </is>
      </c>
      <c r="D29" s="3" t="inlineStr">
        <is>
          <t>반응·혼잣말</t>
        </is>
      </c>
      <c r="E29" s="2" t="inlineStr"/>
      <c r="F29" s="2" t="inlineStr"/>
      <c r="G29" s="2" t="inlineStr"/>
      <c r="H29" s="3" t="inlineStr">
        <is>
          <t>[시각추정] ♪ ザラメが溶けてゲロになりそう / [시각추정] ♪ 瞳孔バチ開いて溺れ死にそう / [시각추정] ♪ 今この世で君だけ大正解</t>
        </is>
      </c>
      <c r="I29" s="4" t="n"/>
      <c r="J29" s="4" t="n"/>
      <c r="K29" s="4" t="n"/>
    </row>
    <row r="30">
      <c r="A30" s="2" t="n">
        <v>28</v>
      </c>
      <c r="B30" s="2" t="inlineStr">
        <is>
          <t>5:28.2</t>
        </is>
      </c>
      <c r="C30" s="2" t="inlineStr">
        <is>
          <t>チ</t>
        </is>
      </c>
      <c r="D30" s="5" t="inlineStr">
        <is>
          <t>읽기</t>
        </is>
      </c>
      <c r="E30" s="5" t="inlineStr">
        <is>
          <t>제목 チェンソーマン</t>
        </is>
      </c>
      <c r="F30" s="5" t="inlineStr">
        <is>
          <t>맞음</t>
        </is>
      </c>
      <c r="G30" s="5" t="inlineStr">
        <is>
          <t>한 글자씩</t>
        </is>
      </c>
      <c r="H30" s="3" t="inlineStr">
        <is>
          <t>[시각추정] ♪ 今この世で君だけ大正解</t>
        </is>
      </c>
      <c r="I30" s="4" t="n"/>
      <c r="J30" s="4" t="n"/>
      <c r="K30" s="4" t="n"/>
    </row>
    <row r="31">
      <c r="A31" s="2" t="n">
        <v>29</v>
      </c>
      <c r="B31" s="2" t="inlineStr">
        <is>
          <t>5:31.0</t>
        </is>
      </c>
      <c r="C31" s="2" t="inlineStr">
        <is>
          <t>ェ</t>
        </is>
      </c>
      <c r="D31" s="5" t="inlineStr">
        <is>
          <t>읽기</t>
        </is>
      </c>
      <c r="E31" s="5" t="inlineStr">
        <is>
          <t>제목 チェンソーマン</t>
        </is>
      </c>
      <c r="F31" s="5" t="inlineStr">
        <is>
          <t>맞음</t>
        </is>
      </c>
      <c r="G31" s="5" t="inlineStr"/>
      <c r="H31" s="3" t="inlineStr">
        <is>
          <t>[시각추정] ♪ 今この世で君だけ大正解</t>
        </is>
      </c>
      <c r="I31" s="4" t="n"/>
      <c r="J31" s="4" t="n"/>
      <c r="K31" s="4" t="n"/>
    </row>
    <row r="32">
      <c r="A32" s="2" t="n">
        <v>30</v>
      </c>
      <c r="B32" s="2" t="inlineStr">
        <is>
          <t>5:33.0</t>
        </is>
      </c>
      <c r="C32" s="2" t="inlineStr">
        <is>
          <t>ン</t>
        </is>
      </c>
      <c r="D32" s="5" t="inlineStr">
        <is>
          <t>읽기</t>
        </is>
      </c>
      <c r="E32" s="5" t="inlineStr">
        <is>
          <t>제목 チェンソーマン</t>
        </is>
      </c>
      <c r="F32" s="5" t="inlineStr">
        <is>
          <t>맞음</t>
        </is>
      </c>
      <c r="G32" s="5" t="inlineStr"/>
      <c r="H32" s="3" t="inlineStr"/>
      <c r="I32" s="4" t="n"/>
      <c r="J32" s="4" t="n"/>
      <c r="K32" s="4" t="n"/>
    </row>
    <row r="33">
      <c r="A33" s="2" t="n">
        <v>31</v>
      </c>
      <c r="B33" s="2" t="inlineStr">
        <is>
          <t>5:35.0</t>
        </is>
      </c>
      <c r="C33" s="2" t="inlineStr">
        <is>
          <t>ソ ー マ ン</t>
        </is>
      </c>
      <c r="D33" s="5" t="inlineStr">
        <is>
          <t>읽기</t>
        </is>
      </c>
      <c r="E33" s="5" t="inlineStr">
        <is>
          <t>제목 チェンソーマン</t>
        </is>
      </c>
      <c r="F33" s="5" t="inlineStr">
        <is>
          <t>맞음</t>
        </is>
      </c>
      <c r="G33" s="5" t="inlineStr"/>
      <c r="H33" s="3" t="inlineStr"/>
      <c r="I33" s="4" t="n"/>
      <c r="J33" s="4" t="n"/>
      <c r="K33" s="4" t="n"/>
    </row>
    <row r="34">
      <c r="A34" s="2" t="n">
        <v>32</v>
      </c>
      <c r="B34" s="2" t="inlineStr">
        <is>
          <t>5:40.8</t>
        </is>
      </c>
      <c r="C34" s="2" t="inlineStr">
        <is>
          <t>チェン</t>
        </is>
      </c>
      <c r="D34" s="5" t="inlineStr">
        <is>
          <t>읽기</t>
        </is>
      </c>
      <c r="E34" s="5" t="inlineStr">
        <is>
          <t>제목 チェンソーマン</t>
        </is>
      </c>
      <c r="F34" s="5" t="inlineStr">
        <is>
          <t>맞음</t>
        </is>
      </c>
      <c r="G34" s="5" t="inlineStr"/>
      <c r="H34" s="3" t="inlineStr"/>
      <c r="I34" s="4" t="n"/>
      <c r="J34" s="4" t="n"/>
      <c r="K34" s="4" t="n"/>
    </row>
    <row r="35">
      <c r="A35" s="2" t="n">
        <v>33</v>
      </c>
      <c r="B35" s="2" t="inlineStr">
        <is>
          <t>5:42.8</t>
        </is>
      </c>
      <c r="C35" s="2" t="inlineStr">
        <is>
          <t>ソーマン</t>
        </is>
      </c>
      <c r="D35" s="5" t="inlineStr">
        <is>
          <t>읽기</t>
        </is>
      </c>
      <c r="E35" s="5" t="inlineStr">
        <is>
          <t>제목 チェンソーマン</t>
        </is>
      </c>
      <c r="F35" s="5" t="inlineStr">
        <is>
          <t>맞음</t>
        </is>
      </c>
      <c r="G35" s="5" t="inlineStr"/>
      <c r="H35" s="3" t="inlineStr"/>
      <c r="I35" s="4" t="n"/>
      <c r="J35" s="4" t="n"/>
      <c r="K35" s="4" t="n"/>
    </row>
    <row r="36">
      <c r="A36" s="2" t="n">
        <v>34</v>
      </c>
      <c r="B36" s="2" t="inlineStr">
        <is>
          <t>5:48.1</t>
        </is>
      </c>
      <c r="C36" s="3" t="inlineStr">
        <is>
          <t>이는 어디 간 거야?</t>
        </is>
      </c>
      <c r="D36" s="3" t="inlineStr">
        <is>
          <t>반응·혼잣말</t>
        </is>
      </c>
      <c r="E36" s="2" t="inlineStr"/>
      <c r="F36" s="2" t="inlineStr"/>
      <c r="G36" s="2" t="inlineStr"/>
      <c r="H36" s="3" t="inlineStr"/>
      <c r="I36" s="4" t="n"/>
      <c r="J36" s="4" t="n"/>
      <c r="K36" s="4" t="n"/>
    </row>
    <row r="37">
      <c r="A37" s="2" t="n">
        <v>35</v>
      </c>
      <c r="B37" s="2" t="inlineStr">
        <is>
          <t>5:49.9</t>
        </is>
      </c>
      <c r="C37" s="2" t="inlineStr">
        <is>
          <t>チェンソーマン?</t>
        </is>
      </c>
      <c r="D37" s="5" t="inlineStr">
        <is>
          <t>읽기</t>
        </is>
      </c>
      <c r="E37" s="5" t="inlineStr">
        <is>
          <t>제목 チェンソーマン</t>
        </is>
      </c>
      <c r="F37" s="5" t="inlineStr">
        <is>
          <t>맞음</t>
        </is>
      </c>
      <c r="G37" s="5" t="inlineStr">
        <is>
          <t>장음 ー에서 막힘</t>
        </is>
      </c>
      <c r="H37" s="3" t="inlineStr"/>
      <c r="I37" s="4" t="n"/>
      <c r="J37" s="4" t="n"/>
      <c r="K37" s="4" t="n"/>
    </row>
    <row r="38">
      <c r="A38" s="2" t="n">
        <v>36</v>
      </c>
      <c r="B38" s="2" t="inlineStr">
        <is>
          <t>5:53.0</t>
        </is>
      </c>
      <c r="C38" s="3" t="inlineStr">
        <is>
          <t>뭐야 이거.</t>
        </is>
      </c>
      <c r="D38" s="3" t="inlineStr">
        <is>
          <t>반응·혼잣말</t>
        </is>
      </c>
      <c r="E38" s="2" t="inlineStr"/>
      <c r="F38" s="2" t="inlineStr"/>
      <c r="G38" s="2" t="inlineStr"/>
      <c r="H38" s="3" t="inlineStr"/>
      <c r="I38" s="4" t="n"/>
      <c r="J38" s="4" t="n"/>
      <c r="K38" s="4" t="n"/>
    </row>
    <row r="39">
      <c r="A39" s="2" t="n">
        <v>37</v>
      </c>
      <c r="B39" s="2" t="inlineStr">
        <is>
          <t>5:55.3</t>
        </is>
      </c>
      <c r="C39" s="3" t="inlineStr">
        <is>
          <t>왜 체인소맨...</t>
        </is>
      </c>
      <c r="D39" s="3" t="inlineStr">
        <is>
          <t>반응·혼잣말</t>
        </is>
      </c>
      <c r="E39" s="2" t="inlineStr"/>
      <c r="F39" s="2" t="inlineStr"/>
      <c r="G39" s="2" t="inlineStr"/>
      <c r="H39" s="3" t="inlineStr"/>
      <c r="I39" s="4" t="n"/>
      <c r="J39" s="4" t="n"/>
      <c r="K39" s="4" t="n"/>
    </row>
    <row r="40">
      <c r="A40" s="2" t="n">
        <v>38</v>
      </c>
      <c r="B40" s="2" t="inlineStr">
        <is>
          <t>5:59.0</t>
        </is>
      </c>
      <c r="C40" s="3" t="inlineStr">
        <is>
          <t>체인소맨을 가타카나로 チェンソーマン이라고 하는구만..</t>
        </is>
      </c>
      <c r="D40" s="3" t="inlineStr">
        <is>
          <t>반응·혼잣말</t>
        </is>
      </c>
      <c r="E40" s="2" t="inlineStr"/>
      <c r="F40" s="2" t="inlineStr"/>
      <c r="G40" s="2" t="inlineStr"/>
      <c r="H40" s="3" t="inlineStr"/>
      <c r="I40" s="4" t="n"/>
      <c r="J40" s="4" t="n"/>
      <c r="K40" s="4" t="n"/>
    </row>
    <row r="41">
      <c r="A41" s="2" t="n">
        <v>39</v>
      </c>
      <c r="B41" s="2" t="inlineStr">
        <is>
          <t>6:06.5</t>
        </is>
      </c>
      <c r="C41" s="3" t="inlineStr">
        <is>
          <t>음...</t>
        </is>
      </c>
      <c r="D41" s="3" t="inlineStr">
        <is>
          <t>소리·감탄</t>
        </is>
      </c>
      <c r="E41" s="2" t="inlineStr"/>
      <c r="F41" s="2" t="inlineStr"/>
      <c r="G41" s="2" t="inlineStr"/>
      <c r="H41" s="3" t="inlineStr"/>
      <c r="I41" s="4" t="n"/>
      <c r="J41" s="4" t="n"/>
      <c r="K41" s="4" t="n"/>
    </row>
    <row r="42">
      <c r="A42" s="2" t="n">
        <v>40</v>
      </c>
      <c r="B42" s="2" t="inlineStr">
        <is>
          <t>6:13.0</t>
        </is>
      </c>
      <c r="C42" s="3" t="inlineStr">
        <is>
          <t>보자.</t>
        </is>
      </c>
      <c r="D42" s="3" t="inlineStr">
        <is>
          <t>반응·혼잣말</t>
        </is>
      </c>
      <c r="E42" s="2" t="inlineStr"/>
      <c r="F42" s="2" t="inlineStr"/>
      <c r="G42" s="2" t="inlineStr"/>
      <c r="H42" s="3" t="inlineStr"/>
      <c r="I42" s="4" t="n"/>
      <c r="J42" s="4" t="n"/>
      <c r="K42" s="4" t="n"/>
    </row>
    <row r="43">
      <c r="A43" s="2" t="n">
        <v>41</v>
      </c>
      <c r="B43" s="2" t="inlineStr">
        <is>
          <t>6:20.0</t>
        </is>
      </c>
      <c r="C43" s="2" t="inlineStr">
        <is>
          <t>체인소오만</t>
        </is>
      </c>
      <c r="D43" s="7" t="inlineStr">
        <is>
          <t>읽기</t>
        </is>
      </c>
      <c r="E43" s="7" t="inlineStr">
        <is>
          <t>제목 チェンソーマン</t>
        </is>
      </c>
      <c r="F43" s="7" t="inlineStr">
        <is>
          <t>대체로 맞음</t>
        </is>
      </c>
      <c r="G43" s="7" t="inlineStr"/>
      <c r="H43" s="3" t="inlineStr"/>
      <c r="I43" s="4" t="n"/>
      <c r="J43" s="4" t="n"/>
      <c r="K43" s="4" t="n"/>
    </row>
    <row r="44">
      <c r="A44" s="2" t="n">
        <v>42</v>
      </c>
      <c r="B44" s="2" t="inlineStr">
        <is>
          <t>6:23.0</t>
        </is>
      </c>
      <c r="C44" s="3" t="inlineStr">
        <is>
          <t>일본어 원제는</t>
        </is>
      </c>
      <c r="D44" s="3" t="inlineStr">
        <is>
          <t>기타</t>
        </is>
      </c>
      <c r="E44" s="2" t="inlineStr"/>
      <c r="F44" s="2" t="inlineStr"/>
      <c r="G44" s="2" t="inlineStr">
        <is>
          <t>AI 설명을 읽음(6:23~7:57)</t>
        </is>
      </c>
      <c r="H44" s="3" t="inlineStr"/>
      <c r="I44" s="4" t="n"/>
      <c r="J44" s="4" t="n"/>
      <c r="K44" s="4" t="n"/>
    </row>
    <row r="45">
      <c r="A45" s="2" t="n">
        <v>43</v>
      </c>
      <c r="B45" s="2" t="inlineStr">
        <is>
          <t>6:26.0</t>
        </is>
      </c>
      <c r="C45" s="3" t="inlineStr">
        <is>
          <t>체인소만이고 가타카나를 그대로 읽으면 대략 첸소오만</t>
        </is>
      </c>
      <c r="D45" s="3" t="inlineStr">
        <is>
          <t>기타</t>
        </is>
      </c>
      <c r="E45" s="2" t="inlineStr"/>
      <c r="F45" s="2" t="inlineStr"/>
      <c r="G45" s="2" t="inlineStr">
        <is>
          <t>AI 설명을 읽음</t>
        </is>
      </c>
      <c r="H45" s="3" t="inlineStr"/>
      <c r="I45" s="4" t="n"/>
      <c r="J45" s="4" t="n"/>
      <c r="K45" s="4" t="n"/>
    </row>
    <row r="46">
      <c r="A46" s="2" t="n">
        <v>44</v>
      </c>
      <c r="B46" s="2" t="inlineStr">
        <is>
          <t>6:32.6</t>
        </is>
      </c>
      <c r="C46" s="3" t="inlineStr">
        <is>
          <t>입니다. 구조를 보면 이래저래해서</t>
        </is>
      </c>
      <c r="D46" s="3" t="inlineStr">
        <is>
          <t>기타</t>
        </is>
      </c>
      <c r="E46" s="2" t="inlineStr"/>
      <c r="F46" s="2" t="inlineStr"/>
      <c r="G46" s="2" t="inlineStr">
        <is>
          <t>AI 설명을 읽음</t>
        </is>
      </c>
      <c r="H46" s="3" t="inlineStr"/>
      <c r="I46" s="4" t="n"/>
      <c r="J46" s="4" t="n"/>
      <c r="K46" s="4" t="n"/>
    </row>
    <row r="47">
      <c r="A47" s="2" t="n">
        <v>45</v>
      </c>
      <c r="B47" s="2" t="inlineStr">
        <is>
          <t>6:38.0</t>
        </is>
      </c>
      <c r="C47" s="3" t="inlineStr">
        <is>
          <t>근데 영어 체인소맨을 생각하면 이상하게 느껴지는 게 맞습니다.</t>
        </is>
      </c>
      <c r="D47" s="3" t="inlineStr">
        <is>
          <t>기타</t>
        </is>
      </c>
      <c r="E47" s="2" t="inlineStr"/>
      <c r="F47" s="2" t="inlineStr"/>
      <c r="G47" s="2" t="inlineStr">
        <is>
          <t>AI 설명을 읽음</t>
        </is>
      </c>
      <c r="H47" s="3" t="inlineStr"/>
      <c r="I47" s="4" t="n"/>
      <c r="J47" s="4" t="n"/>
      <c r="K47" s="4" t="n"/>
    </row>
    <row r="48">
      <c r="A48" s="2" t="n">
        <v>46</v>
      </c>
      <c r="B48" s="2" t="inlineStr">
        <is>
          <t>6:45.0</t>
        </is>
      </c>
      <c r="C48" s="3" t="inlineStr">
        <is>
          <t>체인을 일본어로 보통 옮기면 첸이고</t>
        </is>
      </c>
      <c r="D48" s="3" t="inlineStr">
        <is>
          <t>기타</t>
        </is>
      </c>
      <c r="E48" s="2" t="inlineStr"/>
      <c r="F48" s="2" t="inlineStr"/>
      <c r="G48" s="2" t="inlineStr">
        <is>
          <t>AI 설명을 읽음</t>
        </is>
      </c>
      <c r="H48" s="3" t="inlineStr"/>
      <c r="I48" s="4" t="n"/>
      <c r="J48" s="4" t="n"/>
      <c r="K48" s="4" t="n"/>
    </row>
    <row r="49">
      <c r="A49" s="2" t="n">
        <v>47</v>
      </c>
      <c r="B49" s="2" t="inlineStr">
        <is>
          <t>6:49.0</t>
        </is>
      </c>
      <c r="C49" s="3" t="inlineStr">
        <is>
          <t>체인소 자체도 일반적으로</t>
        </is>
      </c>
      <c r="D49" s="3" t="inlineStr">
        <is>
          <t>기타</t>
        </is>
      </c>
      <c r="E49" s="2" t="inlineStr"/>
      <c r="F49" s="2" t="inlineStr"/>
      <c r="G49" s="2" t="inlineStr">
        <is>
          <t>AI 설명을 읽음</t>
        </is>
      </c>
      <c r="H49" s="3" t="inlineStr"/>
      <c r="I49" s="4" t="n"/>
      <c r="J49" s="4" t="n"/>
      <c r="K49" s="4" t="n"/>
    </row>
    <row r="50">
      <c r="A50" s="2" t="n">
        <v>48</v>
      </c>
      <c r="B50" s="2" t="inlineStr">
        <is>
          <t>6:54.0</t>
        </is>
      </c>
      <c r="C50" s="3" t="inlineStr">
        <is>
          <t>첸소라고 읽습니다.</t>
        </is>
      </c>
      <c r="D50" s="3" t="inlineStr">
        <is>
          <t>기타</t>
        </is>
      </c>
      <c r="E50" s="2" t="inlineStr"/>
      <c r="F50" s="2" t="inlineStr"/>
      <c r="G50" s="2" t="inlineStr">
        <is>
          <t>AI 설명을 읽음</t>
        </is>
      </c>
      <c r="H50" s="3" t="inlineStr"/>
      <c r="I50" s="4" t="n"/>
      <c r="J50" s="4" t="n"/>
      <c r="K50" s="4" t="n"/>
    </row>
    <row r="51">
      <c r="A51" s="2" t="n">
        <v>49</v>
      </c>
      <c r="B51" s="2" t="inlineStr">
        <is>
          <t>6:59.0</t>
        </is>
      </c>
      <c r="C51" s="3" t="inlineStr">
        <is>
          <t>아니 그러니까</t>
        </is>
      </c>
      <c r="D51" s="3" t="inlineStr">
        <is>
          <t>반응·혼잣말</t>
        </is>
      </c>
      <c r="E51" s="2" t="inlineStr"/>
      <c r="F51" s="2" t="inlineStr"/>
      <c r="G51" s="2" t="inlineStr"/>
      <c r="H51" s="3" t="inlineStr"/>
      <c r="I51" s="4" t="n"/>
      <c r="J51" s="4" t="n"/>
      <c r="K51" s="4" t="n"/>
    </row>
    <row r="52">
      <c r="A52" s="2" t="n">
        <v>50</v>
      </c>
      <c r="B52" s="2" t="inlineStr">
        <is>
          <t>7:01.0</t>
        </is>
      </c>
      <c r="C52" s="3" t="inlineStr">
        <is>
          <t>이 'イ'가 가타카나 어 'イ'가 있는데 왜 이를 활용을 안 하는</t>
        </is>
      </c>
      <c r="D52" s="3" t="inlineStr">
        <is>
          <t>반응·혼잣말</t>
        </is>
      </c>
      <c r="E52" s="2" t="inlineStr"/>
      <c r="F52" s="2" t="inlineStr"/>
      <c r="G52" s="2" t="inlineStr"/>
      <c r="H52" s="3" t="inlineStr"/>
      <c r="I52" s="4" t="n"/>
      <c r="J52" s="4" t="n"/>
      <c r="K52" s="4" t="n"/>
    </row>
    <row r="53">
      <c r="A53" s="2" t="n">
        <v>51</v>
      </c>
      <c r="B53" s="2" t="inlineStr">
        <is>
          <t>7:13.5</t>
        </is>
      </c>
      <c r="C53" s="3" t="inlineStr">
        <is>
          <t>말이 안 되잖아.</t>
        </is>
      </c>
      <c r="D53" s="3" t="inlineStr">
        <is>
          <t>반응·혼잣말</t>
        </is>
      </c>
      <c r="E53" s="2" t="inlineStr"/>
      <c r="F53" s="2" t="inlineStr"/>
      <c r="G53" s="2" t="inlineStr"/>
      <c r="H53" s="3" t="inlineStr"/>
      <c r="I53" s="4" t="n"/>
      <c r="J53" s="4" t="n"/>
      <c r="K53" s="4" t="n"/>
    </row>
    <row r="54">
      <c r="A54" s="2" t="n">
        <v>52</v>
      </c>
      <c r="B54" s="2" t="inlineStr">
        <is>
          <t>7:23.0</t>
        </is>
      </c>
      <c r="C54" s="3" t="inlineStr">
        <is>
          <t>에이아이, 어?</t>
        </is>
      </c>
      <c r="D54" s="3" t="inlineStr">
        <is>
          <t>반응·혼잣말</t>
        </is>
      </c>
      <c r="E54" s="2" t="inlineStr"/>
      <c r="F54" s="2" t="inlineStr"/>
      <c r="G54" s="2" t="inlineStr"/>
      <c r="H54" s="3" t="inlineStr"/>
      <c r="I54" s="4" t="n"/>
      <c r="J54" s="4" t="n"/>
      <c r="K54" s="4" t="n"/>
    </row>
    <row r="55">
      <c r="A55" s="2" t="n">
        <v>53</v>
      </c>
      <c r="B55" s="2" t="inlineStr">
        <is>
          <t>7:25.2</t>
        </is>
      </c>
      <c r="C55" s="3" t="inlineStr">
        <is>
          <t>아 체인 'エイン'을 철자로 옮기는 게 아니라 실제 발음이 일본어식으로 옮겨지기 때문이다.</t>
        </is>
      </c>
      <c r="D55" s="3" t="inlineStr">
        <is>
          <t>기타</t>
        </is>
      </c>
      <c r="E55" s="2" t="inlineStr"/>
      <c r="F55" s="2" t="inlineStr"/>
      <c r="G55" s="2" t="inlineStr">
        <is>
          <t>AI 설명을 읽음</t>
        </is>
      </c>
      <c r="H55" s="3" t="inlineStr"/>
      <c r="I55" s="4" t="n"/>
      <c r="J55" s="4" t="n"/>
      <c r="K55" s="4" t="n"/>
    </row>
    <row r="56">
      <c r="A56" s="2" t="n">
        <v>54</v>
      </c>
      <c r="B56" s="2" t="inlineStr">
        <is>
          <t>7:32.0</t>
        </is>
      </c>
      <c r="C56" s="3" t="inlineStr">
        <is>
          <t>(헛기침)</t>
        </is>
      </c>
      <c r="D56" s="3" t="inlineStr">
        <is>
          <t>소리·감탄</t>
        </is>
      </c>
      <c r="E56" s="2" t="inlineStr"/>
      <c r="F56" s="2" t="inlineStr"/>
      <c r="G56" s="2" t="inlineStr"/>
      <c r="H56" s="3" t="inlineStr"/>
      <c r="I56" s="4" t="n"/>
      <c r="J56" s="4" t="n"/>
      <c r="K56" s="4" t="n"/>
    </row>
    <row r="57">
      <c r="A57" s="2" t="n">
        <v>55</v>
      </c>
      <c r="B57" s="2" t="inlineStr">
        <is>
          <t>7:38.4</t>
        </is>
      </c>
      <c r="C57" s="3" t="inlineStr">
        <is>
          <t>그 'エ'가 장음으로 연결돼서 'エン'이 된다는 거야?</t>
        </is>
      </c>
      <c r="D57" s="3" t="inlineStr">
        <is>
          <t>기타</t>
        </is>
      </c>
      <c r="E57" s="2" t="inlineStr"/>
      <c r="F57" s="2" t="inlineStr"/>
      <c r="G57" s="2" t="inlineStr">
        <is>
          <t>AI 설명을 읽음</t>
        </is>
      </c>
      <c r="H57" s="3" t="inlineStr"/>
      <c r="I57" s="4" t="n"/>
      <c r="J57" s="4" t="n"/>
      <c r="K57" s="4" t="n"/>
    </row>
    <row r="58">
      <c r="A58" s="2" t="n">
        <v>56</v>
      </c>
      <c r="B58" s="2" t="inlineStr">
        <is>
          <t>7:47.0</t>
        </is>
      </c>
      <c r="C58" s="3" t="inlineStr">
        <is>
          <t>어...</t>
        </is>
      </c>
      <c r="D58" s="3" t="inlineStr">
        <is>
          <t>소리·감탄</t>
        </is>
      </c>
      <c r="E58" s="2" t="inlineStr"/>
      <c r="F58" s="2" t="inlineStr"/>
      <c r="G58" s="2" t="inlineStr"/>
      <c r="H58" s="3" t="inlineStr"/>
      <c r="I58" s="4" t="n"/>
      <c r="J58" s="4" t="n"/>
      <c r="K58" s="4" t="n"/>
    </row>
    <row r="59">
      <c r="A59" s="2" t="n">
        <v>57</v>
      </c>
      <c r="B59" s="2" t="inlineStr">
        <is>
          <t>7:50.7</t>
        </is>
      </c>
      <c r="C59" s="3" t="inlineStr">
        <is>
          <t>일본어 외래어 표기에서 대체로 장음으로 길게 처리하는 관습이 있기 때문이다.</t>
        </is>
      </c>
      <c r="D59" s="3" t="inlineStr">
        <is>
          <t>기타</t>
        </is>
      </c>
      <c r="E59" s="2" t="inlineStr"/>
      <c r="F59" s="2" t="inlineStr"/>
      <c r="G59" s="2" t="inlineStr">
        <is>
          <t>AI 설명을 읽음</t>
        </is>
      </c>
      <c r="H59" s="3" t="inlineStr"/>
      <c r="I59" s="4" t="n"/>
      <c r="J59" s="4" t="n"/>
      <c r="K59" s="4" t="n"/>
    </row>
    <row r="60">
      <c r="A60" s="2" t="n">
        <v>58</v>
      </c>
      <c r="B60" s="2" t="inlineStr">
        <is>
          <t>8:05.5</t>
        </is>
      </c>
      <c r="C60" s="3" t="inlineStr">
        <is>
          <t>아 씨 지 좆대로 하는구만.</t>
        </is>
      </c>
      <c r="D60" s="3" t="inlineStr">
        <is>
          <t>반응·혼잣말</t>
        </is>
      </c>
      <c r="E60" s="2" t="inlineStr"/>
      <c r="F60" s="2" t="inlineStr"/>
      <c r="G60" s="2" t="inlineStr"/>
      <c r="H60" s="3" t="inlineStr"/>
      <c r="I60" s="4" t="n"/>
      <c r="J60" s="4" t="n"/>
      <c r="K60" s="4" t="n"/>
    </row>
    <row r="61">
      <c r="A61" s="2" t="n">
        <v>59</v>
      </c>
      <c r="B61" s="2" t="inlineStr">
        <is>
          <t>8:15.0</t>
        </is>
      </c>
      <c r="C61" s="2" t="inlineStr">
        <is>
          <t>아 여기도 읽을 게 있네</t>
        </is>
      </c>
      <c r="D61" s="8" t="inlineStr">
        <is>
          <t>읽기</t>
        </is>
      </c>
      <c r="E61" s="8" t="inlineStr">
        <is>
          <t>간판 デビルハンター東京本部庁舎</t>
        </is>
      </c>
      <c r="F61" s="8" t="inlineStr"/>
      <c r="G61" s="8" t="inlineStr"/>
      <c r="H61" s="3" t="inlineStr"/>
      <c r="I61" s="4" t="n"/>
      <c r="J61" s="4" t="n"/>
      <c r="K61" s="4" t="n"/>
    </row>
    <row r="62">
      <c r="A62" s="2" t="n">
        <v>60</v>
      </c>
      <c r="B62" s="2" t="inlineStr">
        <is>
          <t>8:19.0</t>
        </is>
      </c>
      <c r="C62" s="2" t="inlineStr">
        <is>
          <t>デ</t>
        </is>
      </c>
      <c r="D62" s="5" t="inlineStr">
        <is>
          <t>읽기</t>
        </is>
      </c>
      <c r="E62" s="5" t="inlineStr">
        <is>
          <t>간판 デビルハンター東京本部庁舎</t>
        </is>
      </c>
      <c r="F62" s="5" t="inlineStr">
        <is>
          <t>맞음</t>
        </is>
      </c>
      <c r="G62" s="5" t="inlineStr">
        <is>
          <t>デ</t>
        </is>
      </c>
      <c r="H62" s="3" t="inlineStr"/>
      <c r="I62" s="4" t="n"/>
      <c r="J62" s="4" t="n"/>
      <c r="K62" s="4" t="n"/>
    </row>
    <row r="63">
      <c r="A63" s="2" t="n">
        <v>61</v>
      </c>
      <c r="B63" s="2" t="inlineStr">
        <is>
          <t>8:20.3</t>
        </is>
      </c>
      <c r="C63" s="2" t="inlineStr">
        <is>
          <t>ビル</t>
        </is>
      </c>
      <c r="D63" s="5" t="inlineStr">
        <is>
          <t>읽기</t>
        </is>
      </c>
      <c r="E63" s="5" t="inlineStr">
        <is>
          <t>간판 デビルハンター東京本部庁舎</t>
        </is>
      </c>
      <c r="F63" s="5" t="inlineStr">
        <is>
          <t>맞음</t>
        </is>
      </c>
      <c r="G63" s="5" t="inlineStr">
        <is>
          <t>ビル</t>
        </is>
      </c>
      <c r="H63" s="3" t="inlineStr"/>
      <c r="I63" s="4" t="n"/>
      <c r="J63" s="4" t="n"/>
      <c r="K63" s="4" t="n"/>
    </row>
    <row r="64">
      <c r="A64" s="2" t="n">
        <v>62</v>
      </c>
      <c r="B64" s="2" t="inlineStr">
        <is>
          <t>8:24.0</t>
        </is>
      </c>
      <c r="C64" s="2" t="inlineStr">
        <is>
          <t>ハン</t>
        </is>
      </c>
      <c r="D64" s="5" t="inlineStr">
        <is>
          <t>읽기</t>
        </is>
      </c>
      <c r="E64" s="5" t="inlineStr">
        <is>
          <t>간판 デビルハンター東京本部庁舎</t>
        </is>
      </c>
      <c r="F64" s="5" t="inlineStr">
        <is>
          <t>맞음</t>
        </is>
      </c>
      <c r="G64" s="5" t="inlineStr">
        <is>
          <t>ハン</t>
        </is>
      </c>
      <c r="H64" s="3" t="inlineStr"/>
      <c r="I64" s="4" t="n"/>
      <c r="J64" s="4" t="n"/>
      <c r="K64" s="4" t="n"/>
    </row>
    <row r="65">
      <c r="A65" s="2" t="n">
        <v>63</v>
      </c>
      <c r="B65" s="2" t="inlineStr">
        <is>
          <t>8:26.3</t>
        </is>
      </c>
      <c r="C65" s="2" t="inlineStr">
        <is>
          <t>ター</t>
        </is>
      </c>
      <c r="D65" s="5" t="inlineStr">
        <is>
          <t>읽기</t>
        </is>
      </c>
      <c r="E65" s="5" t="inlineStr">
        <is>
          <t>간판 デビルハンター東京本部庁舎</t>
        </is>
      </c>
      <c r="F65" s="5" t="inlineStr">
        <is>
          <t>맞음</t>
        </is>
      </c>
      <c r="G65" s="5" t="inlineStr">
        <is>
          <t>ター</t>
        </is>
      </c>
      <c r="H65" s="3" t="inlineStr"/>
      <c r="I65" s="4" t="n"/>
      <c r="J65" s="4" t="n"/>
      <c r="K65" s="4" t="n"/>
    </row>
    <row r="66">
      <c r="A66" s="2" t="n">
        <v>64</v>
      </c>
      <c r="B66" s="2" t="inlineStr">
        <is>
          <t>8:29.2</t>
        </is>
      </c>
      <c r="C66" s="2" t="inlineStr">
        <is>
          <t>동 경 본</t>
        </is>
      </c>
      <c r="D66" s="7" t="inlineStr">
        <is>
          <t>읽기</t>
        </is>
      </c>
      <c r="E66" s="7" t="inlineStr">
        <is>
          <t>간판 デビルハンター東京本部庁舎</t>
        </is>
      </c>
      <c r="F66" s="7" t="inlineStr">
        <is>
          <t>대체로 맞음</t>
        </is>
      </c>
      <c r="G66" s="7" t="inlineStr">
        <is>
          <t>東京本部를 한국식 한자음 동경본으로</t>
        </is>
      </c>
      <c r="H66" s="3" t="inlineStr"/>
      <c r="I66" s="4" t="n"/>
      <c r="J66" s="4" t="n"/>
      <c r="K66" s="4" t="n"/>
    </row>
    <row r="67">
      <c r="A67" s="2" t="n">
        <v>65</v>
      </c>
      <c r="B67" s="2" t="inlineStr">
        <is>
          <t>8:34.1</t>
        </is>
      </c>
      <c r="C67" s="2" t="inlineStr">
        <is>
          <t>어 어 어 이거 장인 거 같고 본 본부장?</t>
        </is>
      </c>
      <c r="D67" s="9" t="inlineStr">
        <is>
          <t>읽기</t>
        </is>
      </c>
      <c r="E67" s="9" t="inlineStr">
        <is>
          <t>간판 デビルハンター東京本部庁舎</t>
        </is>
      </c>
      <c r="F67" s="9" t="inlineStr">
        <is>
          <t>틀림</t>
        </is>
      </c>
      <c r="G67" s="9" t="inlineStr">
        <is>
          <t>本部庁舎를 본부장으로</t>
        </is>
      </c>
      <c r="H67" s="3" t="inlineStr"/>
      <c r="I67" s="4" t="n"/>
      <c r="J67" s="4" t="n"/>
      <c r="K67" s="4" t="n"/>
    </row>
    <row r="68">
      <c r="A68" s="2" t="n">
        <v>66</v>
      </c>
      <c r="B68" s="2" t="inlineStr">
        <is>
          <t>8:39.0</t>
        </is>
      </c>
      <c r="C68" s="3" t="inlineStr">
        <is>
          <t>본부장? 아닌데</t>
        </is>
      </c>
      <c r="D68" s="3" t="inlineStr">
        <is>
          <t>반응·혼잣말</t>
        </is>
      </c>
      <c r="E68" s="2" t="inlineStr"/>
      <c r="F68" s="2" t="inlineStr"/>
      <c r="G68" s="2" t="inlineStr"/>
      <c r="H68" s="3" t="inlineStr"/>
      <c r="I68" s="4" t="n"/>
      <c r="J68" s="4" t="n"/>
      <c r="K68" s="4" t="n"/>
    </row>
    <row r="69">
      <c r="A69" s="2" t="n">
        <v>67</v>
      </c>
      <c r="B69" s="2" t="inlineStr">
        <is>
          <t>8:43.0</t>
        </is>
      </c>
      <c r="C69" s="3" t="inlineStr">
        <is>
          <t>뭐 아무튼</t>
        </is>
      </c>
      <c r="D69" s="3" t="inlineStr">
        <is>
          <t>반응·혼잣말</t>
        </is>
      </c>
      <c r="E69" s="2" t="inlineStr"/>
      <c r="F69" s="2" t="inlineStr"/>
      <c r="G69" s="2" t="inlineStr"/>
      <c r="H69" s="3" t="inlineStr"/>
      <c r="I69" s="4" t="n"/>
      <c r="J69" s="4" t="n"/>
      <c r="K69" s="4" t="n"/>
    </row>
    <row r="70">
      <c r="A70" s="2" t="n">
        <v>68</v>
      </c>
      <c r="B70" s="2" t="inlineStr">
        <is>
          <t>8:55.0</t>
        </is>
      </c>
      <c r="C70" s="2" t="inlineStr">
        <is>
          <t>この角は</t>
        </is>
      </c>
      <c r="D70" s="5" t="inlineStr">
        <is>
          <t>따라함</t>
        </is>
      </c>
      <c r="E70" s="5" t="inlineStr">
        <is>
          <t>（マキマ）このツノは…</t>
        </is>
      </c>
      <c r="F70" s="5" t="inlineStr">
        <is>
          <t>맞음</t>
        </is>
      </c>
      <c r="G70" s="5" t="inlineStr">
        <is>
          <t>このツノは</t>
        </is>
      </c>
      <c r="H70" s="3" t="inlineStr">
        <is>
          <t>（マキマ）このツノは…</t>
        </is>
      </c>
      <c r="I70" s="4" t="n"/>
      <c r="J70" s="4" t="n"/>
      <c r="K70" s="4" t="n"/>
    </row>
    <row r="71">
      <c r="A71" s="2" t="n">
        <v>69</v>
      </c>
      <c r="B71" s="2" t="inlineStr">
        <is>
          <t>8:57.0</t>
        </is>
      </c>
      <c r="C71" s="2" t="inlineStr">
        <is>
          <t>이 뿔</t>
        </is>
      </c>
      <c r="D71" s="5" t="inlineStr">
        <is>
          <t>옮김</t>
        </is>
      </c>
      <c r="E71" s="5" t="inlineStr">
        <is>
          <t>（マキマ）このツノは…</t>
        </is>
      </c>
      <c r="F71" s="5" t="inlineStr">
        <is>
          <t>맞음</t>
        </is>
      </c>
      <c r="G71" s="5" t="inlineStr"/>
      <c r="H71" s="3" t="inlineStr">
        <is>
          <t>（マキマ）このツノは…</t>
        </is>
      </c>
      <c r="I71" s="4" t="n"/>
      <c r="J71" s="4" t="n"/>
      <c r="K71" s="4" t="n"/>
    </row>
    <row r="72">
      <c r="A72" s="2" t="n">
        <v>70</v>
      </c>
      <c r="B72" s="2" t="inlineStr">
        <is>
          <t>8:58.3</t>
        </is>
      </c>
      <c r="C72" s="2" t="inlineStr">
        <is>
          <t>파워 짱</t>
        </is>
      </c>
      <c r="D72" s="5" t="inlineStr">
        <is>
          <t>따라함</t>
        </is>
      </c>
      <c r="E72" s="5" t="inlineStr">
        <is>
          <t>パワーちゃん</t>
        </is>
      </c>
      <c r="F72" s="5" t="inlineStr">
        <is>
          <t>맞음</t>
        </is>
      </c>
      <c r="G72" s="5" t="inlineStr"/>
      <c r="H72" s="3" t="inlineStr">
        <is>
          <t>（マキマ）このツノは…</t>
        </is>
      </c>
      <c r="I72" s="4" t="n"/>
      <c r="J72" s="4" t="n"/>
      <c r="K72" s="4" t="n"/>
    </row>
    <row r="73">
      <c r="A73" s="2" t="n">
        <v>71</v>
      </c>
      <c r="B73" s="2" t="inlineStr">
        <is>
          <t>9:02.0</t>
        </is>
      </c>
      <c r="C73" s="2" t="inlineStr">
        <is>
          <t>피를 많이 마셨네</t>
        </is>
      </c>
      <c r="D73" s="5" t="inlineStr">
        <is>
          <t>옮김</t>
        </is>
      </c>
      <c r="E73" s="5" t="inlineStr">
        <is>
          <t>血を飲みすぎたね</t>
        </is>
      </c>
      <c r="F73" s="5" t="inlineStr">
        <is>
          <t>맞음</t>
        </is>
      </c>
      <c r="G73" s="5" t="inlineStr"/>
      <c r="H73" s="3" t="inlineStr">
        <is>
          <t>（マキマ）このツノは…</t>
        </is>
      </c>
      <c r="I73" s="4" t="n"/>
      <c r="J73" s="4" t="n"/>
      <c r="K73" s="4" t="n"/>
    </row>
    <row r="74">
      <c r="A74" s="2" t="n">
        <v>72</v>
      </c>
      <c r="B74" s="2" t="inlineStr">
        <is>
          <t>9:07.0</t>
        </is>
      </c>
      <c r="C74" s="2" t="inlineStr">
        <is>
          <t>좀비랑 싸울 때 대충 많이 먹었냐 뭐 이런 뜻인 거 같고</t>
        </is>
      </c>
      <c r="D74" s="7" t="inlineStr">
        <is>
          <t>옮김</t>
        </is>
      </c>
      <c r="E74" s="7" t="inlineStr">
        <is>
          <t>ゾンビとの戦いで 大分 飲んじゃったのかな</t>
        </is>
      </c>
      <c r="F74" s="7" t="inlineStr">
        <is>
          <t>대체로 맞음</t>
        </is>
      </c>
      <c r="G74" s="7" t="inlineStr">
        <is>
          <t>마셨나 → 먹었냐</t>
        </is>
      </c>
      <c r="H74" s="3" t="inlineStr">
        <is>
          <t>[시각추정] 血を飲みすぎたね / [추정] ゾンビとの戦いで 大分 飲んじゃったのかな / [추정] ゾンビとの戦いで 大分 飲んじゃったのかな</t>
        </is>
      </c>
      <c r="I74" s="4" t="n"/>
      <c r="J74" s="4" t="n"/>
      <c r="K74" s="4" t="n"/>
    </row>
    <row r="75">
      <c r="A75" s="2" t="n">
        <v>73</v>
      </c>
      <c r="B75" s="2" t="inlineStr">
        <is>
          <t>9:15.0</t>
        </is>
      </c>
      <c r="C75" s="2" t="inlineStr">
        <is>
          <t>血抜き</t>
        </is>
      </c>
      <c r="D75" s="5" t="inlineStr">
        <is>
          <t>따라함</t>
        </is>
      </c>
      <c r="E75" s="5" t="inlineStr">
        <is>
          <t>血抜きをしないとね</t>
        </is>
      </c>
      <c r="F75" s="5" t="inlineStr">
        <is>
          <t>맞음</t>
        </is>
      </c>
      <c r="G75" s="5" t="inlineStr"/>
      <c r="H75" s="3" t="inlineStr">
        <is>
          <t>[추정] ゾンビとの戦いで 大分 飲んじゃったのかな / 血抜きをしないとね / はい</t>
        </is>
      </c>
      <c r="I75" s="4" t="n"/>
      <c r="J75" s="4" t="n"/>
      <c r="K75" s="4" t="n"/>
    </row>
    <row r="76">
      <c r="A76" s="2" t="n">
        <v>74</v>
      </c>
      <c r="B76" s="2" t="inlineStr">
        <is>
          <t>9:40.0</t>
        </is>
      </c>
      <c r="C76" s="2" t="inlineStr">
        <is>
          <t>そりゃいくらでも</t>
        </is>
      </c>
      <c r="D76" s="5" t="inlineStr">
        <is>
          <t>따라함</t>
        </is>
      </c>
      <c r="E76" s="5" t="inlineStr">
        <is>
          <t>そりゃ いくらでも！</t>
        </is>
      </c>
      <c r="F76" s="5" t="inlineStr">
        <is>
          <t>맞음</t>
        </is>
      </c>
      <c r="G76" s="5" t="inlineStr"/>
      <c r="H76" s="3" t="inlineStr">
        <is>
          <t>ん～… / うぅ… ひっ！　ひっ！ ひっ！　ひっ！　ひっ！ / そりゃ いくらでも！</t>
        </is>
      </c>
      <c r="I76" s="4" t="n"/>
      <c r="J76" s="4" t="n"/>
      <c r="K76" s="4" t="n"/>
    </row>
    <row r="77">
      <c r="A77" s="2" t="n">
        <v>75</v>
      </c>
      <c r="B77" s="2" t="inlineStr">
        <is>
          <t>9:41.6</t>
        </is>
      </c>
      <c r="C77" s="2" t="inlineStr">
        <is>
          <t>괜찮다는 말인가?</t>
        </is>
      </c>
      <c r="D77" s="7" t="inlineStr">
        <is>
          <t>추측</t>
        </is>
      </c>
      <c r="E77" s="7" t="inlineStr">
        <is>
          <t>そりゃ いくらでも！</t>
        </is>
      </c>
      <c r="F77" s="7" t="inlineStr">
        <is>
          <t>대체로 맞음</t>
        </is>
      </c>
      <c r="G77" s="7" t="inlineStr">
        <is>
          <t>얼마든지요 → 괜찮다는 말인가</t>
        </is>
      </c>
      <c r="H77" s="3" t="inlineStr">
        <is>
          <t>ん～… / うぅ… ひっ！　ひっ！ ひっ！　ひっ！　ひっ！ / そりゃ いくらでも！</t>
        </is>
      </c>
      <c r="I77" s="4" t="n"/>
      <c r="J77" s="4" t="n"/>
      <c r="K77" s="4" t="n"/>
    </row>
    <row r="78">
      <c r="A78" s="2" t="n">
        <v>76</v>
      </c>
      <c r="B78" s="2" t="inlineStr">
        <is>
          <t>9:44.0</t>
        </is>
      </c>
      <c r="C78" s="2" t="inlineStr">
        <is>
          <t>血抜き</t>
        </is>
      </c>
      <c r="D78" s="5" t="inlineStr">
        <is>
          <t>따라함</t>
        </is>
      </c>
      <c r="E78" s="5" t="inlineStr">
        <is>
          <t>（デンジ）血抜き？</t>
        </is>
      </c>
      <c r="F78" s="5" t="inlineStr">
        <is>
          <t>맞음</t>
        </is>
      </c>
      <c r="G78" s="5" t="inlineStr"/>
      <c r="H78" s="3" t="inlineStr">
        <is>
          <t>ん～… / うぅ… ひっ！　ひっ！ ひっ！　ひっ！　ひっ！ / そりゃ いくらでも！</t>
        </is>
      </c>
      <c r="I78" s="4" t="n"/>
      <c r="J78" s="4" t="n"/>
      <c r="K78" s="4" t="n"/>
    </row>
    <row r="79">
      <c r="A79" s="2" t="n">
        <v>77</v>
      </c>
      <c r="B79" s="2" t="inlineStr">
        <is>
          <t>9:46.0</t>
        </is>
      </c>
      <c r="C79" s="2" t="inlineStr">
        <is>
          <t>피를 뺀다는 말인가?</t>
        </is>
      </c>
      <c r="D79" s="5" t="inlineStr">
        <is>
          <t>추측</t>
        </is>
      </c>
      <c r="E79" s="5" t="inlineStr">
        <is>
          <t>パワーちゃんは定期的に 血を抜いているの</t>
        </is>
      </c>
      <c r="F79" s="5" t="inlineStr">
        <is>
          <t>맞음</t>
        </is>
      </c>
      <c r="G79" s="5" t="inlineStr"/>
      <c r="H79" s="3" t="inlineStr">
        <is>
          <t>ん～… / うぅ… ひっ！　ひっ！ ひっ！　ひっ！　ひっ！ / そりゃ いくらでも！</t>
        </is>
      </c>
      <c r="I79" s="4" t="n"/>
      <c r="J79" s="4" t="n"/>
      <c r="K79" s="4" t="n"/>
    </row>
    <row r="80">
      <c r="A80" s="2" t="n">
        <v>78</v>
      </c>
      <c r="B80" s="2" t="inlineStr">
        <is>
          <t>9:50.0</t>
        </is>
      </c>
      <c r="C80" s="3" t="inlineStr">
        <is>
          <t>빼도 된다고</t>
        </is>
      </c>
      <c r="D80" s="3" t="inlineStr">
        <is>
          <t>반응·혼잣말</t>
        </is>
      </c>
      <c r="E80" s="2" t="inlineStr"/>
      <c r="F80" s="2" t="inlineStr"/>
      <c r="G80" s="2" t="inlineStr"/>
      <c r="H80" s="3" t="inlineStr">
        <is>
          <t>そりゃ いくらでも！ / ガーン / 借りてる間のバディだけど…</t>
        </is>
      </c>
      <c r="I80" s="4" t="n"/>
      <c r="J80" s="4" t="n"/>
      <c r="K80" s="4" t="n"/>
    </row>
    <row r="81">
      <c r="A81" s="2" t="n">
        <v>79</v>
      </c>
      <c r="B81" s="2" t="inlineStr">
        <is>
          <t>9:53.0</t>
        </is>
      </c>
      <c r="C81" s="2" t="inlineStr">
        <is>
          <t>バディ</t>
        </is>
      </c>
      <c r="D81" s="5" t="inlineStr">
        <is>
          <t>따라함</t>
        </is>
      </c>
      <c r="E81" s="5" t="inlineStr">
        <is>
          <t>借りてる間のバディだけど…</t>
        </is>
      </c>
      <c r="F81" s="5" t="inlineStr">
        <is>
          <t>맞음</t>
        </is>
      </c>
      <c r="G81" s="5" t="inlineStr">
        <is>
          <t>バディ</t>
        </is>
      </c>
      <c r="H81" s="3" t="inlineStr">
        <is>
          <t>そりゃ いくらでも！ / ガーン / 借りてる間のバディだけど…</t>
        </is>
      </c>
      <c r="I81" s="4" t="n"/>
      <c r="J81" s="4" t="n"/>
      <c r="K81" s="4" t="n"/>
    </row>
    <row r="82">
      <c r="A82" s="2" t="n">
        <v>80</v>
      </c>
      <c r="B82" s="2" t="inlineStr">
        <is>
          <t>9:55.0</t>
        </is>
      </c>
      <c r="C82" s="2" t="inlineStr">
        <is>
          <t>같이 버디 파티원 같은 거</t>
        </is>
      </c>
      <c r="D82" s="5" t="inlineStr">
        <is>
          <t>추측</t>
        </is>
      </c>
      <c r="E82" s="5" t="inlineStr">
        <is>
          <t>借りてる間のバディだけど…</t>
        </is>
      </c>
      <c r="F82" s="5" t="inlineStr">
        <is>
          <t>맞음</t>
        </is>
      </c>
      <c r="G82" s="5" t="inlineStr">
        <is>
          <t>버디 = 파티원</t>
        </is>
      </c>
      <c r="H82" s="3" t="inlineStr">
        <is>
          <t>そりゃ いくらでも！ / ガーン / 借りてる間のバディだけど…</t>
        </is>
      </c>
      <c r="I82" s="4" t="n"/>
      <c r="J82" s="4" t="n"/>
      <c r="K82" s="4" t="n"/>
    </row>
    <row r="83">
      <c r="A83" s="2" t="n">
        <v>81</v>
      </c>
      <c r="B83" s="2" t="inlineStr">
        <is>
          <t>10:00.0</t>
        </is>
      </c>
      <c r="C83" s="2" t="inlineStr">
        <is>
          <t>덴지군이랑</t>
        </is>
      </c>
      <c r="D83" s="5" t="inlineStr">
        <is>
          <t>옮김</t>
        </is>
      </c>
      <c r="E83" s="5" t="inlineStr">
        <is>
          <t>彼がデンジ君と 組みたいんだって</t>
        </is>
      </c>
      <c r="F83" s="5" t="inlineStr">
        <is>
          <t>맞음</t>
        </is>
      </c>
      <c r="G83" s="5" t="inlineStr"/>
      <c r="H83" s="3" t="inlineStr">
        <is>
          <t>ガーン / 借りてる間のバディだけど… / 彼がデンジ君と 組みたいんだって</t>
        </is>
      </c>
      <c r="I83" s="4" t="n"/>
      <c r="J83" s="4" t="n"/>
      <c r="K83" s="4" t="n"/>
    </row>
    <row r="84">
      <c r="A84" s="2" t="n">
        <v>82</v>
      </c>
      <c r="B84" s="2" t="inlineStr">
        <is>
          <t>10:03.8</t>
        </is>
      </c>
      <c r="C84" s="2" t="inlineStr">
        <is>
          <t>이 같이 하고 싶다는 거 같고</t>
        </is>
      </c>
      <c r="D84" s="7" t="inlineStr">
        <is>
          <t>옮김</t>
        </is>
      </c>
      <c r="E84" s="7" t="inlineStr">
        <is>
          <t>彼がデンジ君と 組みたいんだって</t>
        </is>
      </c>
      <c r="F84" s="7" t="inlineStr">
        <is>
          <t>대체로 맞음</t>
        </is>
      </c>
      <c r="G84" s="7" t="inlineStr"/>
      <c r="H84" s="3" t="inlineStr">
        <is>
          <t>借りてる間のバディだけど… / 彼がデンジ君と 組みたいんだって / （ビーム）ヒャ!!</t>
        </is>
      </c>
      <c r="I84" s="4" t="n"/>
      <c r="J84" s="4" t="n"/>
      <c r="K84" s="4" t="n"/>
    </row>
    <row r="85">
      <c r="A85" s="2" t="n">
        <v>83</v>
      </c>
      <c r="B85" s="2" t="inlineStr">
        <is>
          <t>10:17.5</t>
        </is>
      </c>
      <c r="C85" s="2" t="inlineStr">
        <is>
          <t>何者ですか こいつ</t>
        </is>
      </c>
      <c r="D85" s="5" t="inlineStr">
        <is>
          <t>따라함</t>
        </is>
      </c>
      <c r="E85" s="5" t="inlineStr">
        <is>
          <t>何者ですか コイツ？</t>
        </is>
      </c>
      <c r="F85" s="5" t="inlineStr">
        <is>
          <t>맞음</t>
        </is>
      </c>
      <c r="G85" s="5" t="inlineStr"/>
      <c r="H85" s="3" t="inlineStr">
        <is>
          <t>（デンジ）ふんっ！ / （ビーム）ぎゃああああああ!! / 何者ですか コイツ？</t>
        </is>
      </c>
      <c r="I85" s="4" t="n"/>
      <c r="J85" s="4" t="n"/>
      <c r="K85" s="4" t="n"/>
    </row>
    <row r="86">
      <c r="A86" s="2" t="n">
        <v>84</v>
      </c>
      <c r="B86" s="2" t="inlineStr">
        <is>
          <t>10:19.3</t>
        </is>
      </c>
      <c r="C86" s="2" t="inlineStr">
        <is>
          <t>이 녀석 뭡니까</t>
        </is>
      </c>
      <c r="D86" s="5" t="inlineStr">
        <is>
          <t>옮김</t>
        </is>
      </c>
      <c r="E86" s="5" t="inlineStr">
        <is>
          <t>何者ですか コイツ？</t>
        </is>
      </c>
      <c r="F86" s="5" t="inlineStr">
        <is>
          <t>맞음</t>
        </is>
      </c>
      <c r="G86" s="5" t="inlineStr"/>
      <c r="H86" s="3" t="inlineStr">
        <is>
          <t>（デンジ）ふんっ！ / （ビーム）ぎゃああああああ!! / 何者ですか コイツ？</t>
        </is>
      </c>
      <c r="I86" s="4" t="n"/>
      <c r="J86" s="4" t="n"/>
      <c r="K86" s="4" t="n"/>
    </row>
    <row r="87">
      <c r="A87" s="2" t="n">
        <v>85</v>
      </c>
      <c r="B87" s="2" t="inlineStr">
        <is>
          <t>10:22.7</t>
        </is>
      </c>
      <c r="C87" s="2" t="inlineStr">
        <is>
          <t>こいつ 이 녀석 何者ですか 뭡니까 이 녀석</t>
        </is>
      </c>
      <c r="D87" s="5" t="inlineStr">
        <is>
          <t>따라함</t>
        </is>
      </c>
      <c r="E87" s="5" t="inlineStr">
        <is>
          <t>何者ですか コイツ？</t>
        </is>
      </c>
      <c r="F87" s="5" t="inlineStr">
        <is>
          <t>맞음</t>
        </is>
      </c>
      <c r="G87" s="5" t="inlineStr">
        <is>
          <t>따라 하고 옮김</t>
        </is>
      </c>
      <c r="H87" s="3" t="inlineStr">
        <is>
          <t>（デンジ）ふんっ！ / （ビーム）ぎゃああああああ!! / 何者ですか コイツ？</t>
        </is>
      </c>
      <c r="I87" s="4" t="n"/>
      <c r="J87" s="4" t="n"/>
      <c r="K87" s="4" t="n"/>
    </row>
    <row r="88">
      <c r="A88" s="2" t="n">
        <v>86</v>
      </c>
      <c r="B88" s="2" t="inlineStr">
        <is>
          <t>10:28.6</t>
        </is>
      </c>
      <c r="C88" s="2" t="inlineStr">
        <is>
          <t>サメの魔人</t>
        </is>
      </c>
      <c r="D88" s="5" t="inlineStr">
        <is>
          <t>따라함</t>
        </is>
      </c>
      <c r="E88" s="5" t="inlineStr">
        <is>
          <t>（マキマ）サメの魔人</t>
        </is>
      </c>
      <c r="F88" s="5" t="inlineStr">
        <is>
          <t>맞음</t>
        </is>
      </c>
      <c r="G88" s="5" t="inlineStr"/>
      <c r="H88" s="3" t="inlineStr">
        <is>
          <t>（ビーム）ぎゃああああああ!! / 何者ですか コイツ？ / （マキマ）サメの魔人</t>
        </is>
      </c>
      <c r="I88" s="4" t="n"/>
      <c r="J88" s="4" t="n"/>
      <c r="K88" s="4" t="n"/>
    </row>
    <row r="89">
      <c r="A89" s="2" t="n">
        <v>87</v>
      </c>
      <c r="B89" s="2" t="inlineStr">
        <is>
          <t>10:30.0</t>
        </is>
      </c>
      <c r="C89" s="2" t="inlineStr">
        <is>
          <t>상어 마인</t>
        </is>
      </c>
      <c r="D89" s="5" t="inlineStr">
        <is>
          <t>옮김</t>
        </is>
      </c>
      <c r="E89" s="5" t="inlineStr">
        <is>
          <t>（マキマ）サメの魔人</t>
        </is>
      </c>
      <c r="F89" s="5" t="inlineStr">
        <is>
          <t>맞음</t>
        </is>
      </c>
      <c r="G89" s="5" t="inlineStr"/>
      <c r="H89" s="3" t="inlineStr">
        <is>
          <t>何者ですか コイツ？ / （マキマ）サメの魔人 / 普段は会話もできないほど 狂暴なんだけど</t>
        </is>
      </c>
      <c r="I89" s="4" t="n"/>
      <c r="J89" s="4" t="n"/>
      <c r="K89" s="4" t="n"/>
    </row>
    <row r="90">
      <c r="A90" s="2" t="n">
        <v>88</v>
      </c>
      <c r="B90" s="2" t="inlineStr">
        <is>
          <t>10:38.1</t>
        </is>
      </c>
      <c r="C90" s="2" t="inlineStr">
        <is>
          <t>デンジ君の</t>
        </is>
      </c>
      <c r="D90" s="5" t="inlineStr">
        <is>
          <t>따라함</t>
        </is>
      </c>
      <c r="E90" s="5" t="inlineStr">
        <is>
          <t>デンジ君の言う事は なんでも聞くんだって</t>
        </is>
      </c>
      <c r="F90" s="5" t="inlineStr">
        <is>
          <t>맞음</t>
        </is>
      </c>
      <c r="G90" s="5" t="inlineStr">
        <is>
          <t>앞부분만</t>
        </is>
      </c>
      <c r="H90" s="3" t="inlineStr">
        <is>
          <t>（マキマ）サメの魔人 / 普段は会話もできないほど 狂暴なんだけど / デンジ君の言う事は なんでも聞くんだって</t>
        </is>
      </c>
      <c r="I90" s="4" t="n"/>
      <c r="J90" s="4" t="n"/>
      <c r="K90" s="4" t="n"/>
    </row>
    <row r="91">
      <c r="A91" s="2" t="n">
        <v>89</v>
      </c>
      <c r="B91" s="2" t="inlineStr">
        <is>
          <t>10:40.6</t>
        </is>
      </c>
      <c r="C91" s="3" t="inlineStr">
        <is>
          <t>어 뭐</t>
        </is>
      </c>
      <c r="D91" s="3" t="inlineStr">
        <is>
          <t>반응·혼잣말</t>
        </is>
      </c>
      <c r="E91" s="2" t="inlineStr"/>
      <c r="F91" s="2" t="inlineStr"/>
      <c r="G91" s="2" t="inlineStr"/>
      <c r="H91" s="3" t="inlineStr">
        <is>
          <t>（マキマ）サメの魔人 / 普段は会話もできないほど 狂暴なんだけど / デンジ君の言う事は なんでも聞くんだって</t>
        </is>
      </c>
      <c r="I91" s="4" t="n"/>
      <c r="J91" s="4" t="n"/>
      <c r="K91" s="4" t="n"/>
    </row>
    <row r="92">
      <c r="A92" s="2" t="n">
        <v>90</v>
      </c>
      <c r="B92" s="2" t="inlineStr">
        <is>
          <t>10:42.6</t>
        </is>
      </c>
      <c r="C92" s="2" t="inlineStr">
        <is>
          <t>다 들어준다고</t>
        </is>
      </c>
      <c r="D92" s="5" t="inlineStr">
        <is>
          <t>옮김</t>
        </is>
      </c>
      <c r="E92" s="5" t="inlineStr">
        <is>
          <t>デンジ君の言う事は なんでも聞くんだって</t>
        </is>
      </c>
      <c r="F92" s="5" t="inlineStr">
        <is>
          <t>맞음</t>
        </is>
      </c>
      <c r="G92" s="5" t="inlineStr"/>
      <c r="H92" s="3" t="inlineStr">
        <is>
          <t>（マキマ）サメの魔人 / 普段は会話もできないほど 狂暴なんだけど / デンジ君の言う事は なんでも聞くんだって</t>
        </is>
      </c>
      <c r="I92" s="4" t="n"/>
      <c r="J92" s="4" t="n"/>
      <c r="K92" s="4" t="n"/>
    </row>
    <row r="93">
      <c r="A93" s="2" t="n">
        <v>91</v>
      </c>
      <c r="B93" s="2" t="inlineStr">
        <is>
          <t>10:47.1</t>
        </is>
      </c>
      <c r="C93" s="2" t="inlineStr">
        <is>
          <t>言うこと聞く</t>
        </is>
      </c>
      <c r="D93" s="5" t="inlineStr">
        <is>
          <t>따라함</t>
        </is>
      </c>
      <c r="E93" s="5" t="inlineStr">
        <is>
          <t>言う事を聞く…？</t>
        </is>
      </c>
      <c r="F93" s="5" t="inlineStr">
        <is>
          <t>맞음</t>
        </is>
      </c>
      <c r="G93" s="5" t="inlineStr"/>
      <c r="H93" s="3" t="inlineStr">
        <is>
          <t>言う事を聞く…？ / なんで？ / なんでだろうね？ 顔が似ているからかな</t>
        </is>
      </c>
      <c r="I93" s="4" t="n"/>
      <c r="J93" s="4" t="n"/>
      <c r="K93" s="4" t="n"/>
    </row>
    <row r="94">
      <c r="A94" s="2" t="n">
        <v>92</v>
      </c>
      <c r="B94" s="2" t="inlineStr">
        <is>
          <t>11:00.2</t>
        </is>
      </c>
      <c r="C94" s="2" t="inlineStr">
        <is>
          <t>男は嫌いだ.</t>
        </is>
      </c>
      <c r="D94" s="5" t="inlineStr">
        <is>
          <t>따라함</t>
        </is>
      </c>
      <c r="E94" s="5" t="inlineStr">
        <is>
          <t>男は嫌いだ</t>
        </is>
      </c>
      <c r="F94" s="5" t="inlineStr">
        <is>
          <t>맞음</t>
        </is>
      </c>
      <c r="G94" s="5" t="inlineStr"/>
      <c r="H94" s="3" t="inlineStr">
        <is>
          <t>チェンソー様 最こっ!? / 触るんじゃねえ / 男は嫌いだ</t>
        </is>
      </c>
      <c r="I94" s="4" t="n"/>
      <c r="J94" s="4" t="n"/>
      <c r="K94" s="4" t="n"/>
    </row>
    <row r="95">
      <c r="A95" s="2" t="n">
        <v>93</v>
      </c>
      <c r="B95" s="2" t="inlineStr">
        <is>
          <t>11:02.0</t>
        </is>
      </c>
      <c r="C95" s="2" t="inlineStr">
        <is>
          <t>남자는 싫다.</t>
        </is>
      </c>
      <c r="D95" s="5" t="inlineStr">
        <is>
          <t>옮김</t>
        </is>
      </c>
      <c r="E95" s="5" t="inlineStr">
        <is>
          <t>男は嫌いだ</t>
        </is>
      </c>
      <c r="F95" s="5" t="inlineStr">
        <is>
          <t>맞음</t>
        </is>
      </c>
      <c r="G95" s="5" t="inlineStr"/>
      <c r="H95" s="3" t="inlineStr">
        <is>
          <t>チェンソー様 最こっ!? / 触るんじゃねえ / 男は嫌いだ</t>
        </is>
      </c>
      <c r="I95" s="4" t="n"/>
      <c r="J95" s="4" t="n"/>
      <c r="K95" s="4" t="n"/>
    </row>
    <row r="96">
      <c r="A96" s="2" t="n">
        <v>94</v>
      </c>
      <c r="B96" s="2" t="inlineStr">
        <is>
          <t>11:05.0</t>
        </is>
      </c>
      <c r="C96" s="3" t="inlineStr">
        <is>
          <t>(헛기침 하는 소리)</t>
        </is>
      </c>
      <c r="D96" s="3" t="inlineStr">
        <is>
          <t>소리·감탄</t>
        </is>
      </c>
      <c r="E96" s="2" t="inlineStr"/>
      <c r="F96" s="2" t="inlineStr"/>
      <c r="G96" s="2" t="inlineStr"/>
      <c r="H96" s="3" t="inlineStr">
        <is>
          <t>男は嫌いだ / （ビーム）うぅ… / うぅ…</t>
        </is>
      </c>
      <c r="I96" s="4" t="n"/>
      <c r="J96" s="4" t="n"/>
      <c r="K96" s="4" t="n"/>
    </row>
    <row r="97">
      <c r="A97" s="2" t="n">
        <v>95</v>
      </c>
      <c r="B97" s="2" t="inlineStr">
        <is>
          <t>11:13.0</t>
        </is>
      </c>
      <c r="C97" s="2" t="inlineStr">
        <is>
          <t>몰라.</t>
        </is>
      </c>
      <c r="D97" s="6" t="inlineStr">
        <is>
          <t>못알아들음</t>
        </is>
      </c>
      <c r="E97" s="6" t="inlineStr">
        <is>
          <t>なんだか 浮かない顔だね？</t>
        </is>
      </c>
      <c r="F97" s="6" t="inlineStr">
        <is>
          <t>못 알아들음</t>
        </is>
      </c>
      <c r="G97" s="6" t="inlineStr"/>
      <c r="H97" s="3" t="inlineStr">
        <is>
          <t>（マキマ）ん？ / なんだか 浮かない顔だね？ / 最強に元気ですよ…</t>
        </is>
      </c>
      <c r="I97" s="4" t="n"/>
      <c r="J97" s="4" t="n"/>
      <c r="K97" s="4" t="n"/>
    </row>
    <row r="98">
      <c r="A98" s="2" t="n">
        <v>96</v>
      </c>
      <c r="B98" s="2" t="inlineStr">
        <is>
          <t>11:16.0</t>
        </is>
      </c>
      <c r="C98" s="2" t="inlineStr">
        <is>
          <t>最高.. 아, 뭐 우울한 표정이라고 그러는 거 같은데.</t>
        </is>
      </c>
      <c r="D98" s="5" t="inlineStr">
        <is>
          <t>추측</t>
        </is>
      </c>
      <c r="E98" s="5" t="inlineStr">
        <is>
          <t>なんだか 浮かない顔だね？</t>
        </is>
      </c>
      <c r="F98" s="5" t="inlineStr">
        <is>
          <t>맞음</t>
        </is>
      </c>
      <c r="G98" s="5" t="inlineStr">
        <is>
          <t>우울한 표정</t>
        </is>
      </c>
      <c r="H98" s="3" t="inlineStr">
        <is>
          <t>（マキマ）ん？ / なんだか 浮かない顔だね？ / 最強に元気ですよ…</t>
        </is>
      </c>
      <c r="I98" s="4" t="n"/>
      <c r="J98" s="4" t="n"/>
      <c r="K98" s="4" t="n"/>
    </row>
    <row r="99">
      <c r="A99" s="2" t="n">
        <v>97</v>
      </c>
      <c r="B99" s="2" t="inlineStr">
        <is>
          <t>11:21.1</t>
        </is>
      </c>
      <c r="C99" s="2" t="inlineStr">
        <is>
          <t>最高に元気ですよ.</t>
        </is>
      </c>
      <c r="D99" s="7" t="inlineStr">
        <is>
          <t>따라함</t>
        </is>
      </c>
      <c r="E99" s="7" t="inlineStr">
        <is>
          <t>最強に元気ですよ…</t>
        </is>
      </c>
      <c r="F99" s="7" t="inlineStr">
        <is>
          <t>대체로 맞음</t>
        </is>
      </c>
      <c r="G99" s="7" t="inlineStr">
        <is>
          <t>最強 → 最高</t>
        </is>
      </c>
      <c r="H99" s="3" t="inlineStr">
        <is>
          <t>（マキマ）ん？ / なんだか 浮かない顔だね？ / 最強に元気ですよ…</t>
        </is>
      </c>
      <c r="I99" s="4" t="n"/>
      <c r="J99" s="4" t="n"/>
      <c r="K99" s="4" t="n"/>
    </row>
    <row r="100">
      <c r="A100" s="2" t="n">
        <v>98</v>
      </c>
      <c r="B100" s="2" t="inlineStr">
        <is>
          <t>11:24.0</t>
        </is>
      </c>
      <c r="C100" s="2" t="inlineStr">
        <is>
          <t>최고로 기분 좋다고.</t>
        </is>
      </c>
      <c r="D100" s="7" t="inlineStr">
        <is>
          <t>옮김</t>
        </is>
      </c>
      <c r="E100" s="7" t="inlineStr">
        <is>
          <t>最強に元気ですよ…</t>
        </is>
      </c>
      <c r="F100" s="7" t="inlineStr">
        <is>
          <t>대체로 맞음</t>
        </is>
      </c>
      <c r="G100" s="7" t="inlineStr"/>
      <c r="H100" s="3" t="inlineStr">
        <is>
          <t>（マキマ）ん？ / なんだか 浮かない顔だね？ / 最強に元気ですよ…</t>
        </is>
      </c>
      <c r="I100" s="4" t="n"/>
      <c r="J100" s="4" t="n"/>
      <c r="K100" s="4" t="n"/>
    </row>
    <row r="101">
      <c r="A101" s="2" t="n">
        <v>99</v>
      </c>
      <c r="B101" s="2" t="inlineStr">
        <is>
          <t>11:34.0</t>
        </is>
      </c>
      <c r="C101" s="2" t="inlineStr">
        <is>
          <t>最強の元気なら</t>
        </is>
      </c>
      <c r="D101" s="7" t="inlineStr">
        <is>
          <t>따라함</t>
        </is>
      </c>
      <c r="E101" s="7" t="inlineStr">
        <is>
          <t>最強に元気なら</t>
        </is>
      </c>
      <c r="F101" s="7" t="inlineStr">
        <is>
          <t>대체로 맞음</t>
        </is>
      </c>
      <c r="G101" s="7" t="inlineStr">
        <is>
          <t>に → の</t>
        </is>
      </c>
      <c r="H101" s="3" t="inlineStr">
        <is>
          <t>最強に元気ですよ… / 最強に元気なら / 明日の休み 私とデートしない？</t>
        </is>
      </c>
      <c r="I101" s="4" t="n"/>
      <c r="J101" s="4" t="n"/>
      <c r="K101" s="4" t="n"/>
    </row>
    <row r="102">
      <c r="A102" s="2" t="n">
        <v>100</v>
      </c>
      <c r="B102" s="2" t="inlineStr">
        <is>
          <t>11:36.0</t>
        </is>
      </c>
      <c r="C102" s="2" t="inlineStr">
        <is>
          <t>최고의 컨디션이라면</t>
        </is>
      </c>
      <c r="D102" s="5" t="inlineStr">
        <is>
          <t>옮김</t>
        </is>
      </c>
      <c r="E102" s="5" t="inlineStr">
        <is>
          <t>最強に元気なら</t>
        </is>
      </c>
      <c r="F102" s="5" t="inlineStr">
        <is>
          <t>맞음</t>
        </is>
      </c>
      <c r="G102" s="5" t="inlineStr"/>
      <c r="H102" s="3" t="inlineStr">
        <is>
          <t>最強に元気ですよ… / 最強に元気なら / 明日の休み 私とデートしない？</t>
        </is>
      </c>
      <c r="I102" s="4" t="n"/>
      <c r="J102" s="4" t="n"/>
      <c r="K102" s="4" t="n"/>
    </row>
    <row r="103">
      <c r="A103" s="2" t="n">
        <v>101</v>
      </c>
      <c r="B103" s="2" t="inlineStr">
        <is>
          <t>11:39.0</t>
        </is>
      </c>
      <c r="C103" s="2" t="inlineStr">
        <is>
          <t>明日 내일</t>
        </is>
      </c>
      <c r="D103" s="5" t="inlineStr">
        <is>
          <t>따라함</t>
        </is>
      </c>
      <c r="E103" s="5" t="inlineStr">
        <is>
          <t>明日の休み 私とデートしない？</t>
        </is>
      </c>
      <c r="F103" s="5" t="inlineStr">
        <is>
          <t>맞음</t>
        </is>
      </c>
      <c r="G103" s="5" t="inlineStr">
        <is>
          <t>明日만</t>
        </is>
      </c>
      <c r="H103" s="3" t="inlineStr">
        <is>
          <t>最強に元気ですよ… / 最強に元気なら / 明日の休み 私とデートしない？</t>
        </is>
      </c>
      <c r="I103" s="4" t="n"/>
      <c r="J103" s="4" t="n"/>
      <c r="K103" s="4" t="n"/>
    </row>
    <row r="104">
      <c r="A104" s="2" t="n">
        <v>102</v>
      </c>
      <c r="B104" s="2" t="inlineStr">
        <is>
          <t>11:42.0</t>
        </is>
      </c>
      <c r="C104" s="2" t="inlineStr">
        <is>
          <t>어.. 기억 안 나고.</t>
        </is>
      </c>
      <c r="D104" s="6" t="inlineStr">
        <is>
          <t>못알아들음</t>
        </is>
      </c>
      <c r="E104" s="6" t="inlineStr">
        <is>
          <t>明日の休み 私とデートしない？</t>
        </is>
      </c>
      <c r="F104" s="6" t="inlineStr">
        <is>
          <t>못 알아들음</t>
        </is>
      </c>
      <c r="G104" s="6" t="inlineStr">
        <is>
          <t>休み 부분</t>
        </is>
      </c>
      <c r="H104" s="3" t="inlineStr">
        <is>
          <t>最強に元気なら / 明日の休み 私とデートしない？ / 明日の休み 私とデートしない？</t>
        </is>
      </c>
      <c r="I104" s="4" t="n"/>
      <c r="J104" s="4" t="n"/>
      <c r="K104" s="4" t="n"/>
    </row>
    <row r="105">
      <c r="A105" s="2" t="n">
        <v>103</v>
      </c>
      <c r="B105" s="2" t="inlineStr">
        <is>
          <t>11:45.0</t>
        </is>
      </c>
      <c r="C105" s="2" t="inlineStr">
        <is>
          <t>私のデートしない？</t>
        </is>
      </c>
      <c r="D105" s="7" t="inlineStr">
        <is>
          <t>따라함</t>
        </is>
      </c>
      <c r="E105" s="7" t="inlineStr">
        <is>
          <t>明日の休み 私とデートしない？</t>
        </is>
      </c>
      <c r="F105" s="7" t="inlineStr">
        <is>
          <t>대체로 맞음</t>
        </is>
      </c>
      <c r="G105" s="7" t="inlineStr">
        <is>
          <t>私と → 私の</t>
        </is>
      </c>
      <c r="H105" s="3" t="inlineStr">
        <is>
          <t>最強に元気なら / 明日の休み 私とデートしない？ / 明日の休み 私とデートしない？</t>
        </is>
      </c>
      <c r="I105" s="4" t="n"/>
      <c r="J105" s="4" t="n"/>
      <c r="K105" s="4" t="n"/>
    </row>
    <row r="106">
      <c r="A106" s="2" t="n">
        <v>104</v>
      </c>
      <c r="B106" s="2" t="inlineStr">
        <is>
          <t>11:47.0</t>
        </is>
      </c>
      <c r="C106" s="2" t="inlineStr">
        <is>
          <t>데이트 하지 않을래?</t>
        </is>
      </c>
      <c r="D106" s="5" t="inlineStr">
        <is>
          <t>옮김</t>
        </is>
      </c>
      <c r="E106" s="5" t="inlineStr">
        <is>
          <t>明日の休み 私とデートしない？</t>
        </is>
      </c>
      <c r="F106" s="5" t="inlineStr">
        <is>
          <t>맞음</t>
        </is>
      </c>
      <c r="G106" s="5" t="inlineStr"/>
      <c r="H106" s="3" t="inlineStr">
        <is>
          <t>最強に元気なら / 明日の休み 私とデートしない？ / 明日の休み 私とデートしない？</t>
        </is>
      </c>
      <c r="I106" s="4" t="n"/>
      <c r="J106" s="4" t="n"/>
      <c r="K106" s="4" t="n"/>
    </row>
    <row r="107">
      <c r="A107" s="2" t="n">
        <v>105</v>
      </c>
      <c r="B107" s="2" t="inlineStr">
        <is>
          <t>11:49.0</t>
        </is>
      </c>
      <c r="C107" s="3" t="inlineStr">
        <is>
          <t>음?</t>
        </is>
      </c>
      <c r="D107" s="3" t="inlineStr">
        <is>
          <t>소리·감탄</t>
        </is>
      </c>
      <c r="E107" s="2" t="inlineStr"/>
      <c r="F107" s="2" t="inlineStr"/>
      <c r="G107" s="2" t="inlineStr"/>
      <c r="H107" s="3" t="inlineStr">
        <is>
          <t>明日の休み 私とデートしない？ / 明日の休み 私とデートしない？ / デート？</t>
        </is>
      </c>
      <c r="I107" s="4" t="n"/>
      <c r="J107" s="4" t="n"/>
      <c r="K107" s="4" t="n"/>
    </row>
    <row r="108">
      <c r="A108" s="2" t="n">
        <v>106</v>
      </c>
      <c r="B108" s="2" t="inlineStr">
        <is>
          <t>12:04.0</t>
        </is>
      </c>
      <c r="C108" s="2" t="inlineStr">
        <is>
          <t>아직 한시간 전이라고.</t>
        </is>
      </c>
      <c r="D108" s="5" t="inlineStr">
        <is>
          <t>옮김</t>
        </is>
      </c>
      <c r="E108" s="5" t="inlineStr">
        <is>
          <t>まだ１時間前だよ</t>
        </is>
      </c>
      <c r="F108" s="5" t="inlineStr">
        <is>
          <t>맞음</t>
        </is>
      </c>
      <c r="G108" s="5" t="inlineStr"/>
      <c r="H108" s="3" t="inlineStr">
        <is>
          <t>やったアアー！ / （マキマ）あれ… デンジ君 もういるの？ / まだ１時間前だよ</t>
        </is>
      </c>
      <c r="I108" s="4" t="n"/>
      <c r="J108" s="4" t="n"/>
      <c r="K108" s="4" t="n"/>
    </row>
    <row r="109">
      <c r="A109" s="2" t="n">
        <v>107</v>
      </c>
      <c r="B109" s="2" t="inlineStr">
        <is>
          <t>12:09.0</t>
        </is>
      </c>
      <c r="C109" s="3" t="inlineStr">
        <is>
          <t>오?</t>
        </is>
      </c>
      <c r="D109" s="3" t="inlineStr">
        <is>
          <t>소리·감탄</t>
        </is>
      </c>
      <c r="E109" s="2" t="inlineStr"/>
      <c r="F109" s="2" t="inlineStr"/>
      <c r="G109" s="2" t="inlineStr"/>
      <c r="H109" s="3" t="inlineStr">
        <is>
          <t>はあっ！ / （デンジ）わー!! / かわいー!!</t>
        </is>
      </c>
      <c r="I109" s="4" t="n"/>
      <c r="J109" s="4" t="n"/>
      <c r="K109" s="4" t="n"/>
    </row>
    <row r="110">
      <c r="A110" s="2" t="n">
        <v>108</v>
      </c>
      <c r="B110" s="2" t="inlineStr">
        <is>
          <t>12:16.0</t>
        </is>
      </c>
      <c r="C110" s="2" t="inlineStr">
        <is>
          <t>デンジくん何時に来てなの.</t>
        </is>
      </c>
      <c r="D110" s="7" t="inlineStr">
        <is>
          <t>따라함</t>
        </is>
      </c>
      <c r="E110" s="7" t="inlineStr">
        <is>
          <t>デンジ君 何時に来てたの？</t>
        </is>
      </c>
      <c r="F110" s="7" t="inlineStr">
        <is>
          <t>대체로 맞음</t>
        </is>
      </c>
      <c r="G110" s="7" t="inlineStr"/>
      <c r="H110" s="3" t="inlineStr">
        <is>
          <t>かわいー!! / カワイイ!! / （マキマ）デンジ君 何時に来てたの？</t>
        </is>
      </c>
      <c r="I110" s="4" t="n"/>
      <c r="J110" s="4" t="n"/>
      <c r="K110" s="4" t="n"/>
    </row>
    <row r="111">
      <c r="A111" s="2" t="n">
        <v>109</v>
      </c>
      <c r="B111" s="2" t="inlineStr">
        <is>
          <t>12:20.0</t>
        </is>
      </c>
      <c r="C111" s="2" t="inlineStr">
        <is>
          <t>덴지군 몇 시에 왔어?</t>
        </is>
      </c>
      <c r="D111" s="5" t="inlineStr">
        <is>
          <t>옮김</t>
        </is>
      </c>
      <c r="E111" s="5" t="inlineStr">
        <is>
          <t>デンジ君 何時に来てたの？</t>
        </is>
      </c>
      <c r="F111" s="5" t="inlineStr">
        <is>
          <t>맞음</t>
        </is>
      </c>
      <c r="G111" s="5" t="inlineStr"/>
      <c r="H111" s="3" t="inlineStr">
        <is>
          <t>かわいー!! / カワイイ!! / （マキマ）デンジ君 何時に来てたの？</t>
        </is>
      </c>
      <c r="I111" s="4" t="n"/>
      <c r="J111" s="4" t="n"/>
      <c r="K111" s="4" t="n"/>
    </row>
    <row r="112">
      <c r="A112" s="2" t="n">
        <v>110</v>
      </c>
      <c r="B112" s="2" t="inlineStr">
        <is>
          <t>12:24.0</t>
        </is>
      </c>
      <c r="C112" s="2" t="inlineStr">
        <is>
          <t>眠れなくなってさ 5時に</t>
        </is>
      </c>
      <c r="D112" s="7" t="inlineStr">
        <is>
          <t>따라함</t>
        </is>
      </c>
      <c r="E112" s="7" t="inlineStr">
        <is>
          <t>眠れなくて５時に来てました</t>
        </is>
      </c>
      <c r="F112" s="7" t="inlineStr">
        <is>
          <t>대체로 맞음</t>
        </is>
      </c>
      <c r="G112" s="7" t="inlineStr"/>
      <c r="H112" s="3" t="inlineStr">
        <is>
          <t>カワイイ!! / （マキマ）デンジ君 何時に来てたの？ / （デンジ） 眠れなくて５時に来てました</t>
        </is>
      </c>
      <c r="I112" s="4" t="n"/>
      <c r="J112" s="4" t="n"/>
      <c r="K112" s="4" t="n"/>
    </row>
    <row r="113">
      <c r="A113" s="2" t="n">
        <v>111</v>
      </c>
      <c r="B113" s="2" t="inlineStr">
        <is>
          <t>12:27.0</t>
        </is>
      </c>
      <c r="C113" s="2" t="inlineStr">
        <is>
          <t>来ちゃいました</t>
        </is>
      </c>
      <c r="D113" s="7" t="inlineStr">
        <is>
          <t>따라함</t>
        </is>
      </c>
      <c r="E113" s="7" t="inlineStr">
        <is>
          <t>眠れなくて５時に来てました</t>
        </is>
      </c>
      <c r="F113" s="7" t="inlineStr">
        <is>
          <t>대체로 맞음</t>
        </is>
      </c>
      <c r="G113" s="7" t="inlineStr">
        <is>
          <t>来てました → 来ちゃいました</t>
        </is>
      </c>
      <c r="H113" s="3" t="inlineStr">
        <is>
          <t>カワイイ!! / （マキマ）デンジ君 何時に来てたの？ / （デンジ） 眠れなくて５時に来てました</t>
        </is>
      </c>
      <c r="I113" s="4" t="n"/>
      <c r="J113" s="4" t="n"/>
      <c r="K113" s="4" t="n"/>
    </row>
    <row r="114">
      <c r="A114" s="2" t="n">
        <v>112</v>
      </c>
      <c r="B114" s="2" t="inlineStr">
        <is>
          <t>12:29.0</t>
        </is>
      </c>
      <c r="C114" s="2" t="inlineStr">
        <is>
          <t>잠 자지 않고 다섯 시에 왔다고.</t>
        </is>
      </c>
      <c r="D114" s="7" t="inlineStr">
        <is>
          <t>옮김</t>
        </is>
      </c>
      <c r="E114" s="7" t="inlineStr">
        <is>
          <t>眠れなくて５時に来てました</t>
        </is>
      </c>
      <c r="F114" s="7" t="inlineStr">
        <is>
          <t>대체로 맞음</t>
        </is>
      </c>
      <c r="G114" s="7" t="inlineStr">
        <is>
          <t>잠이 안 와서 → 잠 자지 않고</t>
        </is>
      </c>
      <c r="H114" s="3" t="inlineStr">
        <is>
          <t>カワイイ!! / （マキマ）デンジ君 何時に来てたの？ / （デンジ） 眠れなくて５時に来てました</t>
        </is>
      </c>
      <c r="I114" s="4" t="n"/>
      <c r="J114" s="4" t="n"/>
      <c r="K114" s="4" t="n"/>
    </row>
    <row r="115">
      <c r="A115" s="2" t="n">
        <v>113</v>
      </c>
      <c r="B115" s="2" t="inlineStr">
        <is>
          <t>12:36.4</t>
        </is>
      </c>
      <c r="C115" s="2" t="inlineStr">
        <is>
          <t>今日はどんな感じの予定ですか？</t>
        </is>
      </c>
      <c r="D115" s="5" t="inlineStr">
        <is>
          <t>따라함</t>
        </is>
      </c>
      <c r="E115" s="5" t="inlineStr">
        <is>
          <t>今日は どんな感じの予定なんですか…？</t>
        </is>
      </c>
      <c r="F115" s="5" t="inlineStr">
        <is>
          <t>맞음</t>
        </is>
      </c>
      <c r="G115" s="5" t="inlineStr"/>
      <c r="H115" s="3" t="inlineStr">
        <is>
          <t>（マキマ）デンジ君 何時に来てたの？ / （デンジ） 眠れなくて５時に来てました / 今日は どんな感じの予定なんですか…？</t>
        </is>
      </c>
      <c r="I115" s="4" t="n"/>
      <c r="J115" s="4" t="n"/>
      <c r="K115" s="4" t="n"/>
    </row>
    <row r="116">
      <c r="A116" s="2" t="n">
        <v>114</v>
      </c>
      <c r="B116" s="2" t="inlineStr">
        <is>
          <t>12:40.9</t>
        </is>
      </c>
      <c r="C116" s="2" t="inlineStr">
        <is>
          <t>여정</t>
        </is>
      </c>
      <c r="D116" s="7" t="inlineStr">
        <is>
          <t>옮김</t>
        </is>
      </c>
      <c r="E116" s="7" t="inlineStr">
        <is>
          <t>今日は どんな感じの予定なんですか…？</t>
        </is>
      </c>
      <c r="F116" s="7" t="inlineStr">
        <is>
          <t>대체로 맞음</t>
        </is>
      </c>
      <c r="G116" s="7" t="inlineStr">
        <is>
          <t>予定 → 여정</t>
        </is>
      </c>
      <c r="H116" s="3" t="inlineStr">
        <is>
          <t>（マキマ）デンジ君 何時に来てたの？ / （デンジ） 眠れなくて５時に来てました / 今日は どんな感じの予定なんですか…？</t>
        </is>
      </c>
      <c r="I116" s="4" t="n"/>
      <c r="J116" s="4" t="n"/>
      <c r="K116" s="4" t="n"/>
    </row>
    <row r="117">
      <c r="A117" s="2" t="n">
        <v>115</v>
      </c>
      <c r="B117" s="2" t="inlineStr">
        <is>
          <t>12:43.8</t>
        </is>
      </c>
      <c r="C117" s="2" t="inlineStr">
        <is>
          <t>오늘은 어떤 느낌의 여정입니까?</t>
        </is>
      </c>
      <c r="D117" s="7" t="inlineStr">
        <is>
          <t>옮김</t>
        </is>
      </c>
      <c r="E117" s="7" t="inlineStr">
        <is>
          <t>今日は どんな感じの予定なんですか…？</t>
        </is>
      </c>
      <c r="F117" s="7" t="inlineStr">
        <is>
          <t>대체로 맞음</t>
        </is>
      </c>
      <c r="G117" s="7" t="inlineStr">
        <is>
          <t>予定 → 여정</t>
        </is>
      </c>
      <c r="H117" s="3" t="inlineStr">
        <is>
          <t>（マキマ）デンジ君 何時に来てたの？ / （デンジ） 眠れなくて５時に来てました / 今日は どんな感じの予定なんですか…？</t>
        </is>
      </c>
      <c r="I117" s="4" t="n"/>
      <c r="J117" s="4" t="n"/>
      <c r="K117" s="4" t="n"/>
    </row>
    <row r="118">
      <c r="A118" s="2" t="n">
        <v>116</v>
      </c>
      <c r="B118" s="2" t="inlineStr">
        <is>
          <t>12:51.0</t>
        </is>
      </c>
      <c r="C118" s="2" t="inlineStr">
        <is>
          <t>俺</t>
        </is>
      </c>
      <c r="D118" s="5" t="inlineStr">
        <is>
          <t>따라함</t>
        </is>
      </c>
      <c r="E118" s="5" t="inlineStr">
        <is>
          <t>俺 女性と遊ぶの初めてで…</t>
        </is>
      </c>
      <c r="F118" s="5" t="inlineStr">
        <is>
          <t>맞음</t>
        </is>
      </c>
      <c r="G118" s="5" t="inlineStr">
        <is>
          <t>俺만</t>
        </is>
      </c>
      <c r="H118" s="3" t="inlineStr">
        <is>
          <t>（デンジ） 眠れなくて５時に来てました / 今日は どんな感じの予定なんですか…？ / 俺 女性と遊ぶの初めてで…</t>
        </is>
      </c>
      <c r="I118" s="4" t="n"/>
      <c r="J118" s="4" t="n"/>
      <c r="K118" s="4" t="n"/>
    </row>
    <row r="119">
      <c r="A119" s="2" t="n">
        <v>117</v>
      </c>
      <c r="B119" s="2" t="inlineStr">
        <is>
          <t>12:52.9</t>
        </is>
      </c>
      <c r="C119" s="3" t="inlineStr">
        <is>
          <t>나 저</t>
        </is>
      </c>
      <c r="D119" s="3" t="inlineStr">
        <is>
          <t>반응·혼잣말</t>
        </is>
      </c>
      <c r="E119" s="2" t="inlineStr"/>
      <c r="F119" s="2" t="inlineStr"/>
      <c r="G119" s="2" t="inlineStr"/>
      <c r="H119" s="3" t="inlineStr">
        <is>
          <t>（デンジ） 眠れなくて５時に来てました / 今日は どんな感じの予定なんですか…？ / 俺 女性と遊ぶの初めてで…</t>
        </is>
      </c>
      <c r="I119" s="4" t="n"/>
      <c r="J119" s="4" t="n"/>
      <c r="K119" s="4" t="n"/>
    </row>
    <row r="120">
      <c r="A120" s="2" t="n">
        <v>118</v>
      </c>
      <c r="B120" s="2" t="inlineStr">
        <is>
          <t>12:55.0</t>
        </is>
      </c>
      <c r="C120" s="2" t="inlineStr">
        <is>
          <t>여성과 노는 거 처음이라서</t>
        </is>
      </c>
      <c r="D120" s="5" t="inlineStr">
        <is>
          <t>옮김</t>
        </is>
      </c>
      <c r="E120" s="5" t="inlineStr">
        <is>
          <t>俺 女性と遊ぶの初めてで…</t>
        </is>
      </c>
      <c r="F120" s="5" t="inlineStr">
        <is>
          <t>맞음</t>
        </is>
      </c>
      <c r="G120" s="5" t="inlineStr"/>
      <c r="H120" s="3" t="inlineStr">
        <is>
          <t>今日は どんな感じの予定なんですか…？ / 俺 女性と遊ぶの初めてで…</t>
        </is>
      </c>
      <c r="I120" s="4" t="n"/>
      <c r="J120" s="4" t="n"/>
      <c r="K120" s="4" t="n"/>
    </row>
    <row r="121">
      <c r="A121" s="2" t="n">
        <v>119</v>
      </c>
      <c r="B121" s="2" t="inlineStr">
        <is>
          <t>13:01.0</t>
        </is>
      </c>
      <c r="C121" s="2" t="inlineStr">
        <is>
          <t>今日は今から夜に12時まで</t>
        </is>
      </c>
      <c r="D121" s="7" t="inlineStr">
        <is>
          <t>따라함</t>
        </is>
      </c>
      <c r="E121" s="7" t="inlineStr">
        <is>
          <t>今日は今から夜の12時まで</t>
        </is>
      </c>
      <c r="F121" s="7" t="inlineStr">
        <is>
          <t>대체로 맞음</t>
        </is>
      </c>
      <c r="G121" s="7" t="inlineStr">
        <is>
          <t>夜の → 夜に</t>
        </is>
      </c>
      <c r="H121" s="3" t="inlineStr">
        <is>
          <t>今日は どんな感じの予定なんですか…？ / 俺 女性と遊ぶの初めてで… / 今日は今から夜の12時まで</t>
        </is>
      </c>
      <c r="I121" s="4" t="n"/>
      <c r="J121" s="4" t="n"/>
      <c r="K121" s="4" t="n"/>
    </row>
    <row r="122">
      <c r="A122" s="2" t="n">
        <v>120</v>
      </c>
      <c r="B122" s="2" t="inlineStr">
        <is>
          <t>13:07.0</t>
        </is>
      </c>
      <c r="C122" s="2" t="inlineStr">
        <is>
          <t>今日は 오늘은</t>
        </is>
      </c>
      <c r="D122" s="5" t="inlineStr">
        <is>
          <t>옮김</t>
        </is>
      </c>
      <c r="E122" s="5" t="inlineStr">
        <is>
          <t>今日は今から夜の12時まで</t>
        </is>
      </c>
      <c r="F122" s="5" t="inlineStr">
        <is>
          <t>맞음</t>
        </is>
      </c>
      <c r="G122" s="5" t="inlineStr"/>
      <c r="H122" s="3" t="inlineStr">
        <is>
          <t>俺 女性と遊ぶの初めてで… / 今日は今から夜の12時まで</t>
        </is>
      </c>
      <c r="I122" s="4" t="n"/>
      <c r="J122" s="4" t="n"/>
      <c r="K122" s="4" t="n"/>
    </row>
    <row r="123">
      <c r="A123" s="2" t="n">
        <v>121</v>
      </c>
      <c r="B123" s="2" t="inlineStr">
        <is>
          <t>13:10.0</t>
        </is>
      </c>
      <c r="C123" s="2" t="inlineStr">
        <is>
          <t>밤 12시</t>
        </is>
      </c>
      <c r="D123" s="5" t="inlineStr">
        <is>
          <t>옮김</t>
        </is>
      </c>
      <c r="E123" s="5" t="inlineStr">
        <is>
          <t>今日は今から夜の12時まで</t>
        </is>
      </c>
      <c r="F123" s="5" t="inlineStr">
        <is>
          <t>맞음</t>
        </is>
      </c>
      <c r="G123" s="5" t="inlineStr"/>
      <c r="H123" s="3" t="inlineStr">
        <is>
          <t>俺 女性と遊ぶの初めてで… / 今日は今から夜の12時まで</t>
        </is>
      </c>
      <c r="I123" s="4" t="n"/>
      <c r="J123" s="4" t="n"/>
      <c r="K123" s="4" t="n"/>
    </row>
    <row r="124">
      <c r="A124" s="2" t="n">
        <v>122</v>
      </c>
      <c r="B124" s="2" t="inlineStr">
        <is>
          <t>13:13.0</t>
        </is>
      </c>
      <c r="C124" s="2" t="inlineStr">
        <is>
          <t>까지</t>
        </is>
      </c>
      <c r="D124" s="5" t="inlineStr">
        <is>
          <t>옮김</t>
        </is>
      </c>
      <c r="E124" s="5" t="inlineStr">
        <is>
          <t>今日は今から夜の12時まで</t>
        </is>
      </c>
      <c r="F124" s="5" t="inlineStr">
        <is>
          <t>맞음</t>
        </is>
      </c>
      <c r="G124" s="5" t="inlineStr"/>
      <c r="H124" s="3" t="inlineStr">
        <is>
          <t>俺 女性と遊ぶの初めてで… / 今日は今から夜の12時まで / 映画館をハシゴして 見まくります</t>
        </is>
      </c>
      <c r="I124" s="4" t="n"/>
      <c r="J124" s="4" t="n"/>
      <c r="K124" s="4" t="n"/>
    </row>
    <row r="125">
      <c r="A125" s="2" t="n">
        <v>123</v>
      </c>
      <c r="B125" s="2" t="inlineStr">
        <is>
          <t>13:17.0</t>
        </is>
      </c>
      <c r="C125" s="2" t="inlineStr">
        <is>
          <t>映画館 영화관</t>
        </is>
      </c>
      <c r="D125" s="5" t="inlineStr">
        <is>
          <t>따라함</t>
        </is>
      </c>
      <c r="E125" s="5" t="inlineStr">
        <is>
          <t>映画館をハシゴして 見まくります</t>
        </is>
      </c>
      <c r="F125" s="5" t="inlineStr">
        <is>
          <t>맞음</t>
        </is>
      </c>
      <c r="G125" s="5" t="inlineStr">
        <is>
          <t>映画館만</t>
        </is>
      </c>
      <c r="H125" s="3" t="inlineStr">
        <is>
          <t>俺 女性と遊ぶの初めてで… / 今日は今から夜の12時まで / 映画館をハシゴして 見まくります</t>
        </is>
      </c>
      <c r="I125" s="4" t="n"/>
      <c r="J125" s="4" t="n"/>
      <c r="K125" s="4" t="n"/>
    </row>
    <row r="126">
      <c r="A126" s="2" t="n">
        <v>124</v>
      </c>
      <c r="B126" s="2" t="inlineStr">
        <is>
          <t>13:19.0</t>
        </is>
      </c>
      <c r="C126" s="2" t="inlineStr">
        <is>
          <t>어 그다음 몰라</t>
        </is>
      </c>
      <c r="D126" s="6" t="inlineStr">
        <is>
          <t>못알아들음</t>
        </is>
      </c>
      <c r="E126" s="6" t="inlineStr">
        <is>
          <t>映画館をハシゴして 見まくります</t>
        </is>
      </c>
      <c r="F126" s="6" t="inlineStr">
        <is>
          <t>못 알아들음</t>
        </is>
      </c>
      <c r="G126" s="6" t="inlineStr">
        <is>
          <t>ハシゴ 이후</t>
        </is>
      </c>
      <c r="H126" s="3" t="inlineStr">
        <is>
          <t>今日は今から夜の12時まで / 映画館をハシゴして 見まくります / …え？</t>
        </is>
      </c>
      <c r="I126" s="4" t="n"/>
      <c r="J126" s="4" t="n"/>
      <c r="K126" s="4" t="n"/>
    </row>
    <row r="127">
      <c r="A127" s="2" t="n">
        <v>125</v>
      </c>
      <c r="B127" s="2" t="inlineStr">
        <is>
          <t>13:24.2</t>
        </is>
      </c>
      <c r="C127" s="3" t="inlineStr">
        <is>
          <t>(헛기침)</t>
        </is>
      </c>
      <c r="D127" s="3" t="inlineStr">
        <is>
          <t>소리·감탄</t>
        </is>
      </c>
      <c r="E127" s="2" t="inlineStr"/>
      <c r="F127" s="2" t="inlineStr"/>
      <c r="G127" s="2" t="inlineStr"/>
      <c r="H127" s="3" t="inlineStr">
        <is>
          <t>…え？ / （男）うーっ！ / ぐあっ！</t>
        </is>
      </c>
      <c r="I127" s="4" t="n"/>
      <c r="J127" s="4" t="n"/>
      <c r="K127" s="4" t="n"/>
    </row>
    <row r="128">
      <c r="A128" s="2" t="n">
        <v>126</v>
      </c>
      <c r="B128" s="2" t="inlineStr">
        <is>
          <t>13:36.0</t>
        </is>
      </c>
      <c r="C128" s="2" t="inlineStr">
        <is>
          <t>なんか思ってたような違うなんか</t>
        </is>
      </c>
      <c r="D128" s="7" t="inlineStr">
        <is>
          <t>따라함</t>
        </is>
      </c>
      <c r="E128" s="7" t="inlineStr">
        <is>
          <t>思ってたのと違うような…</t>
        </is>
      </c>
      <c r="F128" s="7" t="inlineStr">
        <is>
          <t>대체로 맞음</t>
        </is>
      </c>
      <c r="G128" s="7" t="inlineStr"/>
      <c r="H128" s="3" t="inlineStr">
        <is>
          <t>ああっ！ / （デンジ）なんか… / 思ってたのと違うような…</t>
        </is>
      </c>
      <c r="I128" s="4" t="n"/>
      <c r="J128" s="4" t="n"/>
      <c r="K128" s="4" t="n"/>
    </row>
    <row r="129">
      <c r="A129" s="2" t="n">
        <v>127</v>
      </c>
      <c r="B129" s="2" t="inlineStr">
        <is>
          <t>13:39.2</t>
        </is>
      </c>
      <c r="C129" s="2" t="inlineStr">
        <is>
          <t>뭔가 생각했던 거랑은 다른데</t>
        </is>
      </c>
      <c r="D129" s="5" t="inlineStr">
        <is>
          <t>옮김</t>
        </is>
      </c>
      <c r="E129" s="5" t="inlineStr">
        <is>
          <t>思ってたのと違うような…</t>
        </is>
      </c>
      <c r="F129" s="5" t="inlineStr">
        <is>
          <t>맞음</t>
        </is>
      </c>
      <c r="G129" s="5" t="inlineStr"/>
      <c r="H129" s="3" t="inlineStr">
        <is>
          <t>ああっ！ / （デンジ）なんか… / 思ってたのと違うような…</t>
        </is>
      </c>
      <c r="I129" s="4" t="n"/>
      <c r="J129" s="4" t="n"/>
      <c r="K129" s="4" t="n"/>
    </row>
    <row r="130">
      <c r="A130" s="2" t="n">
        <v>128</v>
      </c>
      <c r="B130" s="2" t="inlineStr">
        <is>
          <t>13:46.6</t>
        </is>
      </c>
      <c r="C130" s="2" t="inlineStr">
        <is>
          <t>모두 웃고 있어</t>
        </is>
      </c>
      <c r="D130" s="5" t="inlineStr">
        <is>
          <t>옮김</t>
        </is>
      </c>
      <c r="E130" s="5" t="inlineStr">
        <is>
          <t>（デンジ）みんな 笑ってる</t>
        </is>
      </c>
      <c r="F130" s="5" t="inlineStr">
        <is>
          <t>맞음</t>
        </is>
      </c>
      <c r="G130" s="5" t="inlineStr"/>
      <c r="H130" s="3" t="inlineStr">
        <is>
          <t>（デンジ）なんか… / 思ってたのと違うような… / （デンジ）みんな 笑ってる</t>
        </is>
      </c>
      <c r="I130" s="4" t="n"/>
      <c r="J130" s="4" t="n"/>
      <c r="K130" s="4" t="n"/>
    </row>
    <row r="131">
      <c r="A131" s="2" t="n">
        <v>129</v>
      </c>
      <c r="B131" s="2" t="inlineStr">
        <is>
          <t>13:51.6</t>
        </is>
      </c>
      <c r="C131" s="2" t="inlineStr">
        <is>
          <t>아 몰라</t>
        </is>
      </c>
      <c r="D131" s="6" t="inlineStr">
        <is>
          <t>못알아들음</t>
        </is>
      </c>
      <c r="E131" s="6" t="inlineStr">
        <is>
          <t>そんな今んトコ笑えるか？</t>
        </is>
      </c>
      <c r="F131" s="6" t="inlineStr">
        <is>
          <t>못 알아들음</t>
        </is>
      </c>
      <c r="G131" s="6" t="inlineStr"/>
      <c r="H131" s="3" t="inlineStr">
        <is>
          <t>（デンジ）みんな 笑ってる / そんな今んトコ笑えるか？ / ん…</t>
        </is>
      </c>
      <c r="I131" s="4" t="n"/>
      <c r="J131" s="4" t="n"/>
      <c r="K131" s="4" t="n"/>
    </row>
    <row r="132">
      <c r="A132" s="2" t="n">
        <v>130</v>
      </c>
      <c r="B132" s="2" t="inlineStr">
        <is>
          <t>13:58.5</t>
        </is>
      </c>
      <c r="C132" s="2" t="inlineStr">
        <is>
          <t>마키마상은 웃지 않아</t>
        </is>
      </c>
      <c r="D132" s="7" t="inlineStr">
        <is>
          <t>옮김</t>
        </is>
      </c>
      <c r="E132" s="7" t="inlineStr">
        <is>
          <t>（デンジ）マキマさんも笑ってない</t>
        </is>
      </c>
      <c r="F132" s="7" t="inlineStr">
        <is>
          <t>대체로 맞음</t>
        </is>
      </c>
      <c r="G132" s="7" t="inlineStr">
        <is>
          <t>も(도) 빠짐</t>
        </is>
      </c>
      <c r="H132" s="3" t="inlineStr">
        <is>
          <t>そんな今んトコ笑えるか？ / ん… / （デンジ）マキマさんも笑ってない</t>
        </is>
      </c>
      <c r="I132" s="4" t="n"/>
      <c r="J132" s="4" t="n"/>
      <c r="K132" s="4" t="n"/>
    </row>
    <row r="133">
      <c r="A133" s="2" t="n">
        <v>131</v>
      </c>
      <c r="B133" s="2" t="inlineStr">
        <is>
          <t>14:02.2</t>
        </is>
      </c>
      <c r="C133" s="2" t="inlineStr">
        <is>
          <t>귀엽다</t>
        </is>
      </c>
      <c r="D133" s="5" t="inlineStr">
        <is>
          <t>옮김</t>
        </is>
      </c>
      <c r="E133" s="5" t="inlineStr">
        <is>
          <t>かわいい…</t>
        </is>
      </c>
      <c r="F133" s="5" t="inlineStr">
        <is>
          <t>맞음</t>
        </is>
      </c>
      <c r="G133" s="5" t="inlineStr"/>
      <c r="H133" s="3" t="inlineStr">
        <is>
          <t>ん… / （デンジ）マキマさんも笑ってない / かわいい…</t>
        </is>
      </c>
      <c r="I133" s="4" t="n"/>
      <c r="J133" s="4" t="n"/>
      <c r="K133" s="4" t="n"/>
    </row>
    <row r="134">
      <c r="A134" s="2" t="n">
        <v>132</v>
      </c>
      <c r="B134" s="2" t="inlineStr">
        <is>
          <t>14:09.7</t>
        </is>
      </c>
      <c r="C134" s="2" t="inlineStr">
        <is>
          <t>面白くなかったね</t>
        </is>
      </c>
      <c r="D134" s="5" t="inlineStr">
        <is>
          <t>따라함</t>
        </is>
      </c>
      <c r="E134" s="5" t="inlineStr">
        <is>
          <t>（マキマ）面白くなかったね</t>
        </is>
      </c>
      <c r="F134" s="5" t="inlineStr">
        <is>
          <t>맞음</t>
        </is>
      </c>
      <c r="G134" s="5" t="inlineStr"/>
      <c r="H134" s="3" t="inlineStr">
        <is>
          <t>かわいい… / （デンジ） な～んか いまいちでした / （マキマ）面白くなかったね</t>
        </is>
      </c>
      <c r="I134" s="4" t="n"/>
      <c r="J134" s="4" t="n"/>
      <c r="K134" s="4" t="n"/>
    </row>
    <row r="135">
      <c r="A135" s="2" t="n">
        <v>133</v>
      </c>
      <c r="B135" s="2" t="inlineStr">
        <is>
          <t>14:12.0</t>
        </is>
      </c>
      <c r="C135" s="2" t="inlineStr">
        <is>
          <t>재미있지 않았나 보네</t>
        </is>
      </c>
      <c r="D135" s="7" t="inlineStr">
        <is>
          <t>옮김</t>
        </is>
      </c>
      <c r="E135" s="7" t="inlineStr">
        <is>
          <t>（マキマ）面白くなかったね</t>
        </is>
      </c>
      <c r="F135" s="7" t="inlineStr">
        <is>
          <t>대체로 맞음</t>
        </is>
      </c>
      <c r="G135" s="7" t="inlineStr"/>
      <c r="H135" s="3" t="inlineStr">
        <is>
          <t>かわいい… / （デンジ） な～んか いまいちでした / （マキマ）面白くなかったね</t>
        </is>
      </c>
      <c r="I135" s="4" t="n"/>
      <c r="J135" s="4" t="n"/>
      <c r="K135" s="4" t="n"/>
    </row>
    <row r="136">
      <c r="A136" s="2" t="n">
        <v>134</v>
      </c>
      <c r="B136" s="2" t="inlineStr">
        <is>
          <t>14:21.0</t>
        </is>
      </c>
      <c r="C136" s="2" t="inlineStr">
        <is>
          <t>다음 가볼까</t>
        </is>
      </c>
      <c r="D136" s="5" t="inlineStr">
        <is>
          <t>옮김</t>
        </is>
      </c>
      <c r="E136" s="5" t="inlineStr">
        <is>
          <t>次 行こうか</t>
        </is>
      </c>
      <c r="F136" s="5" t="inlineStr">
        <is>
          <t>맞음</t>
        </is>
      </c>
      <c r="G136" s="5" t="inlineStr"/>
      <c r="H136" s="3" t="inlineStr">
        <is>
          <t>画面は結構 お金かけてそうだったけど / じゃあ / 次 行こうか</t>
        </is>
      </c>
      <c r="I136" s="4" t="n"/>
      <c r="J136" s="4" t="n"/>
      <c r="K136" s="4" t="n"/>
    </row>
    <row r="137">
      <c r="A137" s="2" t="n">
        <v>135</v>
      </c>
      <c r="B137" s="2" t="inlineStr">
        <is>
          <t>14:23.2</t>
        </is>
      </c>
      <c r="C137" s="2" t="inlineStr">
        <is>
          <t>次行こうか</t>
        </is>
      </c>
      <c r="D137" s="5" t="inlineStr">
        <is>
          <t>따라함</t>
        </is>
      </c>
      <c r="E137" s="5" t="inlineStr">
        <is>
          <t>次 行こうか</t>
        </is>
      </c>
      <c r="F137" s="5" t="inlineStr">
        <is>
          <t>맞음</t>
        </is>
      </c>
      <c r="G137" s="5" t="inlineStr"/>
      <c r="H137" s="3" t="inlineStr">
        <is>
          <t>画面は結構 お金かけてそうだったけど / じゃあ / 次 行こうか</t>
        </is>
      </c>
      <c r="I137" s="4" t="n"/>
      <c r="J137" s="4" t="n"/>
      <c r="K137" s="4" t="n"/>
    </row>
    <row r="138">
      <c r="A138" s="2" t="n">
        <v>136</v>
      </c>
      <c r="B138" s="2" t="inlineStr">
        <is>
          <t>14:35.0</t>
        </is>
      </c>
      <c r="C138" s="2" t="inlineStr">
        <is>
          <t>모두 울고 있어</t>
        </is>
      </c>
      <c r="D138" s="5" t="inlineStr">
        <is>
          <t>옮김</t>
        </is>
      </c>
      <c r="E138" s="5" t="inlineStr">
        <is>
          <t>（デンジ）みんな泣いてる…</t>
        </is>
      </c>
      <c r="F138" s="5" t="inlineStr">
        <is>
          <t>맞음</t>
        </is>
      </c>
      <c r="G138" s="5" t="inlineStr"/>
      <c r="H138" s="3" t="inlineStr">
        <is>
          <t>次 行こうか / （観客の すすり泣き） （デンジ）ん？ / （デンジ）みんな泣いてる…</t>
        </is>
      </c>
      <c r="I138" s="4" t="n"/>
      <c r="J138" s="4" t="n"/>
      <c r="K138" s="4" t="n"/>
    </row>
    <row r="139">
      <c r="A139" s="2" t="n">
        <v>137</v>
      </c>
      <c r="B139" s="2" t="inlineStr">
        <is>
          <t>14:42.0</t>
        </is>
      </c>
      <c r="C139" s="2" t="inlineStr">
        <is>
          <t>울지 않... 울지 않고 있어</t>
        </is>
      </c>
      <c r="D139" s="5" t="inlineStr">
        <is>
          <t>옮김</t>
        </is>
      </c>
      <c r="E139" s="5" t="inlineStr">
        <is>
          <t>泣いてない… かわいい…</t>
        </is>
      </c>
      <c r="F139" s="5" t="inlineStr">
        <is>
          <t>맞음</t>
        </is>
      </c>
      <c r="G139" s="5" t="inlineStr"/>
      <c r="H139" s="3" t="inlineStr">
        <is>
          <t>（観客の すすり泣き） （デンジ）ん？ / （デンジ）みんな泣いてる… / 泣いてない… かわいい…</t>
        </is>
      </c>
      <c r="I139" s="4" t="n"/>
      <c r="J139" s="4" t="n"/>
      <c r="K139" s="4" t="n"/>
    </row>
    <row r="140">
      <c r="A140" s="2" t="n">
        <v>138</v>
      </c>
      <c r="B140" s="2" t="inlineStr">
        <is>
          <t>14:45.1</t>
        </is>
      </c>
      <c r="C140" s="2" t="inlineStr">
        <is>
          <t>可愛い</t>
        </is>
      </c>
      <c r="D140" s="5" t="inlineStr">
        <is>
          <t>따라함</t>
        </is>
      </c>
      <c r="E140" s="5" t="inlineStr">
        <is>
          <t>泣いてない… かわいい…</t>
        </is>
      </c>
      <c r="F140" s="5" t="inlineStr">
        <is>
          <t>맞음</t>
        </is>
      </c>
      <c r="G140" s="5" t="inlineStr"/>
      <c r="H140" s="3" t="inlineStr">
        <is>
          <t>（観客の すすり泣き） （デンジ）ん？ / （デンジ）みんな泣いてる… / 泣いてない… かわいい…</t>
        </is>
      </c>
      <c r="I140" s="4" t="n"/>
      <c r="J140" s="4" t="n"/>
      <c r="K140" s="4" t="n"/>
    </row>
    <row r="141">
      <c r="A141" s="2" t="n">
        <v>139</v>
      </c>
      <c r="B141" s="2" t="inlineStr">
        <is>
          <t>14:54.0</t>
        </is>
      </c>
      <c r="C141" s="2" t="inlineStr">
        <is>
          <t>어, 뭔 말인지 모르겠네.</t>
        </is>
      </c>
      <c r="D141" s="6" t="inlineStr">
        <is>
          <t>못알아들음</t>
        </is>
      </c>
      <c r="E141" s="6" t="inlineStr">
        <is>
          <t>泣かせようとする感じが 嫌だったね</t>
        </is>
      </c>
      <c r="F141" s="6" t="inlineStr">
        <is>
          <t>못 알아들음</t>
        </is>
      </c>
      <c r="G141" s="6" t="inlineStr"/>
      <c r="H141" s="3" t="inlineStr">
        <is>
          <t>（デンジ）なんか いまいちでした / （マキマ）こっちを無理やり / 泣かせようとする感じが 嫌だったね</t>
        </is>
      </c>
      <c r="I141" s="4" t="n"/>
      <c r="J141" s="4" t="n"/>
      <c r="K141" s="4" t="n"/>
    </row>
    <row r="142">
      <c r="A142" s="2" t="n">
        <v>140</v>
      </c>
      <c r="B142" s="2" t="inlineStr">
        <is>
          <t>14:59.5</t>
        </is>
      </c>
      <c r="C142" s="2" t="inlineStr">
        <is>
          <t>음악은 괜찮았나.</t>
        </is>
      </c>
      <c r="D142" s="5" t="inlineStr">
        <is>
          <t>옮김</t>
        </is>
      </c>
      <c r="E142" s="5" t="inlineStr">
        <is>
          <t>音楽は良かったかな</t>
        </is>
      </c>
      <c r="F142" s="5" t="inlineStr">
        <is>
          <t>맞음</t>
        </is>
      </c>
      <c r="G142" s="5" t="inlineStr"/>
      <c r="H142" s="3" t="inlineStr">
        <is>
          <t>（マキマ）こっちを無理やり / 泣かせようとする感じが 嫌だったね / 音楽は良かったかな</t>
        </is>
      </c>
      <c r="I142" s="4" t="n"/>
      <c r="J142" s="4" t="n"/>
      <c r="K142" s="4" t="n"/>
    </row>
    <row r="143">
      <c r="A143" s="2" t="n">
        <v>141</v>
      </c>
      <c r="B143" s="2" t="inlineStr">
        <is>
          <t>15:07.0</t>
        </is>
      </c>
      <c r="C143" s="2" t="inlineStr">
        <is>
          <t>아 모르겠고</t>
        </is>
      </c>
      <c r="D143" s="6" t="inlineStr">
        <is>
          <t>못알아들음</t>
        </is>
      </c>
      <c r="E143" s="6" t="inlineStr">
        <is>
          <t>嘘くさい話だったなあ…</t>
        </is>
      </c>
      <c r="F143" s="6" t="inlineStr">
        <is>
          <t>못 알아들음</t>
        </is>
      </c>
      <c r="G143" s="6" t="inlineStr"/>
      <c r="H143" s="3" t="inlineStr">
        <is>
          <t>音楽は良かったかな / （女性）きゃああー！ / 嘘くさい話だったなあ…</t>
        </is>
      </c>
      <c r="I143" s="4" t="n"/>
      <c r="J143" s="4" t="n"/>
      <c r="K143" s="4" t="n"/>
    </row>
    <row r="144">
      <c r="A144" s="2" t="n">
        <v>142</v>
      </c>
      <c r="B144" s="2" t="inlineStr">
        <is>
          <t>15:14.0</t>
        </is>
      </c>
      <c r="C144" s="2" t="inlineStr">
        <is>
          <t>本当に普通だったね</t>
        </is>
      </c>
      <c r="D144" s="5" t="inlineStr">
        <is>
          <t>따라함</t>
        </is>
      </c>
      <c r="E144" s="5" t="inlineStr">
        <is>
          <t>本当に普通だったね</t>
        </is>
      </c>
      <c r="F144" s="5" t="inlineStr">
        <is>
          <t>맞음</t>
        </is>
      </c>
      <c r="G144" s="5" t="inlineStr"/>
      <c r="H144" s="3" t="inlineStr">
        <is>
          <t>（女性）きゃああー！ / 嘘くさい話だったなあ… / 本当に普通だったね</t>
        </is>
      </c>
      <c r="I144" s="4" t="n"/>
      <c r="J144" s="4" t="n"/>
      <c r="K144" s="4" t="n"/>
    </row>
    <row r="145">
      <c r="A145" s="2" t="n">
        <v>143</v>
      </c>
      <c r="B145" s="2" t="inlineStr">
        <is>
          <t>15:16.0</t>
        </is>
      </c>
      <c r="C145" s="2" t="inlineStr">
        <is>
          <t>정말 평범했네.</t>
        </is>
      </c>
      <c r="D145" s="5" t="inlineStr">
        <is>
          <t>옮김</t>
        </is>
      </c>
      <c r="E145" s="5" t="inlineStr">
        <is>
          <t>本当に普通だったね</t>
        </is>
      </c>
      <c r="F145" s="5" t="inlineStr">
        <is>
          <t>맞음</t>
        </is>
      </c>
      <c r="G145" s="5" t="inlineStr"/>
      <c r="H145" s="3" t="inlineStr">
        <is>
          <t>（女性）きゃああー！ / 嘘くさい話だったなあ… / 本当に普通だったね</t>
        </is>
      </c>
      <c r="I145" s="4" t="n"/>
      <c r="J145" s="4" t="n"/>
      <c r="K145" s="4" t="n"/>
    </row>
    <row r="146">
      <c r="A146" s="2" t="n">
        <v>144</v>
      </c>
      <c r="B146" s="2" t="inlineStr">
        <is>
          <t>15:22.0</t>
        </is>
      </c>
      <c r="C146" s="2" t="inlineStr">
        <is>
          <t>次が最高</t>
        </is>
      </c>
      <c r="D146" s="9" t="inlineStr">
        <is>
          <t>따라함</t>
        </is>
      </c>
      <c r="E146" s="9" t="inlineStr">
        <is>
          <t>次が最後</t>
        </is>
      </c>
      <c r="F146" s="9" t="inlineStr">
        <is>
          <t>틀림</t>
        </is>
      </c>
      <c r="G146" s="9" t="inlineStr">
        <is>
          <t>最後 → 最高, 다음 줄에서 바로 마지막으로 옮김</t>
        </is>
      </c>
      <c r="H146" s="3" t="inlineStr">
        <is>
          <t>嘘くさい話だったなあ… / 本当に普通だったね / 次が最後</t>
        </is>
      </c>
      <c r="I146" s="4" t="n"/>
      <c r="J146" s="4" t="n"/>
      <c r="K146" s="4" t="n"/>
    </row>
    <row r="147">
      <c r="A147" s="2" t="n">
        <v>145</v>
      </c>
      <c r="B147" s="2" t="inlineStr">
        <is>
          <t>15:24.0</t>
        </is>
      </c>
      <c r="C147" s="2" t="inlineStr">
        <is>
          <t>다음이 마지막.</t>
        </is>
      </c>
      <c r="D147" s="5" t="inlineStr">
        <is>
          <t>옮김</t>
        </is>
      </c>
      <c r="E147" s="5" t="inlineStr">
        <is>
          <t>次が最後</t>
        </is>
      </c>
      <c r="F147" s="5" t="inlineStr">
        <is>
          <t>맞음</t>
        </is>
      </c>
      <c r="G147" s="5" t="inlineStr"/>
      <c r="H147" s="3" t="inlineStr">
        <is>
          <t>嘘くさい話だったなあ… / 本当に普通だったね / 次が最後</t>
        </is>
      </c>
      <c r="I147" s="4" t="n"/>
      <c r="J147" s="4" t="n"/>
      <c r="K147" s="4" t="n"/>
    </row>
    <row r="148">
      <c r="A148" s="2" t="n">
        <v>146</v>
      </c>
      <c r="B148" s="2" t="inlineStr">
        <is>
          <t>15:30.6</t>
        </is>
      </c>
      <c r="C148" s="2" t="inlineStr">
        <is>
          <t>자, 가타카나 나왔습니다잉.</t>
        </is>
      </c>
      <c r="D148" s="8" t="inlineStr">
        <is>
          <t>읽기</t>
        </is>
      </c>
      <c r="E148" s="8" t="inlineStr">
        <is>
          <t>간판 シネマ座</t>
        </is>
      </c>
      <c r="F148" s="8" t="inlineStr"/>
      <c r="G148" s="8" t="inlineStr"/>
      <c r="H148" s="3" t="inlineStr">
        <is>
          <t>本当に普通だったね / 次が最後 / [시각추정] 難しくて よくわからないって 評判の映画なんだけど…</t>
        </is>
      </c>
      <c r="I148" s="4" t="n"/>
      <c r="J148" s="4" t="n"/>
      <c r="K148" s="4" t="n"/>
    </row>
    <row r="149">
      <c r="A149" s="2" t="n">
        <v>147</v>
      </c>
      <c r="B149" s="2" t="inlineStr">
        <is>
          <t>15:34.0</t>
        </is>
      </c>
      <c r="C149" s="2" t="inlineStr">
        <is>
          <t>シ</t>
        </is>
      </c>
      <c r="D149" s="5" t="inlineStr">
        <is>
          <t>읽기</t>
        </is>
      </c>
      <c r="E149" s="5" t="inlineStr">
        <is>
          <t>간판 シネマ座</t>
        </is>
      </c>
      <c r="F149" s="5" t="inlineStr">
        <is>
          <t>맞음</t>
        </is>
      </c>
      <c r="G149" s="5" t="inlineStr">
        <is>
          <t>シ</t>
        </is>
      </c>
      <c r="H149" s="3" t="inlineStr">
        <is>
          <t>本当に普通だったね / 次が最後 / [시각추정] 難しくて よくわからないって 評判の映画なんだけど…</t>
        </is>
      </c>
      <c r="I149" s="4" t="n"/>
      <c r="J149" s="4" t="n"/>
      <c r="K149" s="4" t="n"/>
    </row>
    <row r="150">
      <c r="A150" s="2" t="n">
        <v>148</v>
      </c>
      <c r="B150" s="2" t="inlineStr">
        <is>
          <t>15:36.7</t>
        </is>
      </c>
      <c r="C150" s="2" t="inlineStr">
        <is>
          <t>ネ</t>
        </is>
      </c>
      <c r="D150" s="5" t="inlineStr">
        <is>
          <t>읽기</t>
        </is>
      </c>
      <c r="E150" s="5" t="inlineStr">
        <is>
          <t>간판 シネマ座</t>
        </is>
      </c>
      <c r="F150" s="5" t="inlineStr">
        <is>
          <t>맞음</t>
        </is>
      </c>
      <c r="G150" s="5" t="inlineStr">
        <is>
          <t>ネ</t>
        </is>
      </c>
      <c r="H150" s="3" t="inlineStr">
        <is>
          <t>本当に普通だったね / 次が最後 / [시각추정] 難しくて よくわからないって 評判の映画なんだけど…</t>
        </is>
      </c>
      <c r="I150" s="4" t="n"/>
      <c r="J150" s="4" t="n"/>
      <c r="K150" s="4" t="n"/>
    </row>
    <row r="151">
      <c r="A151" s="2" t="n">
        <v>149</v>
      </c>
      <c r="B151" s="2" t="inlineStr">
        <is>
          <t>15:37.5</t>
        </is>
      </c>
      <c r="C151" s="2" t="inlineStr">
        <is>
          <t>マ</t>
        </is>
      </c>
      <c r="D151" s="5" t="inlineStr">
        <is>
          <t>읽기</t>
        </is>
      </c>
      <c r="E151" s="5" t="inlineStr">
        <is>
          <t>간판 シネマ座</t>
        </is>
      </c>
      <c r="F151" s="5" t="inlineStr">
        <is>
          <t>맞음</t>
        </is>
      </c>
      <c r="G151" s="5" t="inlineStr">
        <is>
          <t>マ</t>
        </is>
      </c>
      <c r="H151" s="3" t="inlineStr">
        <is>
          <t>本当に普通だったね / 次が最後 / [시각추정] 難しくて よくわからないって 評判の映画なんだけど…</t>
        </is>
      </c>
      <c r="I151" s="4" t="n"/>
      <c r="J151" s="4" t="n"/>
      <c r="K151" s="4" t="n"/>
    </row>
    <row r="152">
      <c r="A152" s="2" t="n">
        <v>150</v>
      </c>
      <c r="B152" s="2" t="inlineStr">
        <is>
          <t>15:50.0</t>
        </is>
      </c>
      <c r="C152" s="2" t="inlineStr">
        <is>
          <t>덴지군은 볼래?</t>
        </is>
      </c>
      <c r="D152" s="5" t="inlineStr">
        <is>
          <t>옮김</t>
        </is>
      </c>
      <c r="E152" s="5" t="inlineStr">
        <is>
          <t>デンジ君は見る？</t>
        </is>
      </c>
      <c r="F152" s="5" t="inlineStr">
        <is>
          <t>맞음</t>
        </is>
      </c>
      <c r="G152" s="5" t="inlineStr"/>
      <c r="H152" s="3" t="inlineStr">
        <is>
          <t>難しくて よくわからないって 評判の映画なんだけど… / デンジ君は見る？ / （デンジ）正直 今んトコ全部微妙です</t>
        </is>
      </c>
      <c r="I152" s="4" t="n"/>
      <c r="J152" s="4" t="n"/>
      <c r="K152" s="4" t="n"/>
    </row>
    <row r="153">
      <c r="A153" s="2" t="n">
        <v>151</v>
      </c>
      <c r="B153" s="2" t="inlineStr">
        <is>
          <t>15:54.7</t>
        </is>
      </c>
      <c r="C153" s="2" t="inlineStr">
        <is>
          <t>솔직히 지금까지는 미묘했다?</t>
        </is>
      </c>
      <c r="D153" s="5" t="inlineStr">
        <is>
          <t>옮김</t>
        </is>
      </c>
      <c r="E153" s="5" t="inlineStr">
        <is>
          <t>（デンジ）正直 今んトコ全部微妙です</t>
        </is>
      </c>
      <c r="F153" s="5" t="inlineStr">
        <is>
          <t>맞음</t>
        </is>
      </c>
      <c r="G153" s="5" t="inlineStr"/>
      <c r="H153" s="3" t="inlineStr">
        <is>
          <t>難しくて よくわからないって 評判の映画なんだけど… / デンジ君は見る？ / （デンジ）正直 今んトコ全部微妙です</t>
        </is>
      </c>
      <c r="I153" s="4" t="n"/>
      <c r="J153" s="4" t="n"/>
      <c r="K153" s="4" t="n"/>
    </row>
    <row r="154">
      <c r="A154" s="2" t="n">
        <v>152</v>
      </c>
      <c r="B154" s="2" t="inlineStr">
        <is>
          <t>16:02.0</t>
        </is>
      </c>
      <c r="C154" s="2" t="inlineStr">
        <is>
          <t>나 영화</t>
        </is>
      </c>
      <c r="D154" s="5" t="inlineStr">
        <is>
          <t>옮김</t>
        </is>
      </c>
      <c r="E154" s="5" t="inlineStr">
        <is>
          <t>オレ 映画とか わかんないのかも</t>
        </is>
      </c>
      <c r="F154" s="5" t="inlineStr">
        <is>
          <t>맞음</t>
        </is>
      </c>
      <c r="G154" s="5" t="inlineStr"/>
      <c r="H154" s="3" t="inlineStr">
        <is>
          <t>デンジ君は見る？ / （デンジ）正直 今んトコ全部微妙です / オレ 映画とか わかんないのかも</t>
        </is>
      </c>
      <c r="I154" s="4" t="n"/>
      <c r="J154" s="4" t="n"/>
      <c r="K154" s="4" t="n"/>
    </row>
    <row r="155">
      <c r="A155" s="2" t="n">
        <v>153</v>
      </c>
      <c r="B155" s="2" t="inlineStr">
        <is>
          <t>16:05.7</t>
        </is>
      </c>
      <c r="C155" s="2" t="inlineStr">
        <is>
          <t>라는 걸 잘 모를지도.</t>
        </is>
      </c>
      <c r="D155" s="5" t="inlineStr">
        <is>
          <t>옮김</t>
        </is>
      </c>
      <c r="E155" s="5" t="inlineStr">
        <is>
          <t>オレ 映画とか わかんないのかも</t>
        </is>
      </c>
      <c r="F155" s="5" t="inlineStr">
        <is>
          <t>맞음</t>
        </is>
      </c>
      <c r="G155" s="5" t="inlineStr"/>
      <c r="H155" s="3" t="inlineStr">
        <is>
          <t>（デンジ）正直 今んトコ全部微妙です / オレ 映画とか わかんないのかも / [추정] （マキマ） 私も十本に一本くらいしか</t>
        </is>
      </c>
      <c r="I155" s="4" t="n"/>
      <c r="J155" s="4" t="n"/>
      <c r="K155" s="4" t="n"/>
    </row>
    <row r="156">
      <c r="A156" s="2" t="n">
        <v>154</v>
      </c>
      <c r="B156" s="2" t="inlineStr">
        <is>
          <t>16:14.8</t>
        </is>
      </c>
      <c r="C156" s="2" t="inlineStr">
        <is>
          <t>재밌는 영화는 열 번, 열 개를 봐도 재밌는 영화는 안 나온다는 말인가?</t>
        </is>
      </c>
      <c r="D156" s="7" t="inlineStr">
        <is>
          <t>추측</t>
        </is>
      </c>
      <c r="E156" s="7" t="inlineStr">
        <is>
          <t>（マキマ） 私も十本に一本くらいしか 面白い映画には出会えないよ</t>
        </is>
      </c>
      <c r="F156" s="7" t="inlineStr">
        <is>
          <t>대체로 맞음</t>
        </is>
      </c>
      <c r="G156" s="7" t="inlineStr">
        <is>
          <t>열 편에 한 편</t>
        </is>
      </c>
      <c r="H156" s="3" t="inlineStr">
        <is>
          <t>面白い映画には出会えないよ / え？ / でも その一本に人生を 変えられた事があるんだ</t>
        </is>
      </c>
      <c r="I156" s="4" t="n"/>
      <c r="J156" s="4" t="n"/>
      <c r="K156" s="4" t="n"/>
    </row>
    <row r="157">
      <c r="A157" s="2" t="n">
        <v>155</v>
      </c>
      <c r="B157" s="2" t="inlineStr">
        <is>
          <t>16:27.0</t>
        </is>
      </c>
      <c r="C157" s="2" t="inlineStr">
        <is>
          <t>でも 그러나 その一本</t>
        </is>
      </c>
      <c r="D157" s="5" t="inlineStr">
        <is>
          <t>따라함</t>
        </is>
      </c>
      <c r="E157" s="5" t="inlineStr">
        <is>
          <t>でも その一本に人生を 変えられた事があるんだ</t>
        </is>
      </c>
      <c r="F157" s="5" t="inlineStr">
        <is>
          <t>맞음</t>
        </is>
      </c>
      <c r="G157" s="5" t="inlineStr">
        <is>
          <t>따라 하고 옮김</t>
        </is>
      </c>
      <c r="H157" s="3" t="inlineStr">
        <is>
          <t>面白い映画には出会えないよ / え？ / でも その一本に人生を 変えられた事があるんだ</t>
        </is>
      </c>
      <c r="I157" s="4" t="n"/>
      <c r="J157" s="4" t="n"/>
      <c r="K157" s="4" t="n"/>
    </row>
    <row r="158">
      <c r="A158" s="2" t="n">
        <v>156</v>
      </c>
      <c r="B158" s="2" t="inlineStr">
        <is>
          <t>16:30.1</t>
        </is>
      </c>
      <c r="C158" s="2" t="inlineStr">
        <is>
          <t>한편이 人生 人生를 変わる한다 그니까 바꾼다</t>
        </is>
      </c>
      <c r="D158" s="7" t="inlineStr">
        <is>
          <t>옮김</t>
        </is>
      </c>
      <c r="E158" s="7" t="inlineStr">
        <is>
          <t>でも その一本に人生を 変えられた事があるんだ</t>
        </is>
      </c>
      <c r="F158" s="7" t="inlineStr">
        <is>
          <t>대체로 맞음</t>
        </is>
      </c>
      <c r="G158" s="7" t="inlineStr"/>
      <c r="H158" s="3" t="inlineStr">
        <is>
          <t>面白い映画には出会えないよ / え？ / でも その一本に人生を 変えられた事があるんだ</t>
        </is>
      </c>
      <c r="I158" s="4" t="n"/>
      <c r="J158" s="4" t="n"/>
      <c r="K158" s="4" t="n"/>
    </row>
    <row r="159">
      <c r="A159" s="2" t="n">
        <v>157</v>
      </c>
      <c r="B159" s="2" t="inlineStr">
        <is>
          <t>16:44.0</t>
        </is>
      </c>
      <c r="C159" s="3" t="inlineStr">
        <is>
          <t>이게 그 한편인가</t>
        </is>
      </c>
      <c r="D159" s="3" t="inlineStr">
        <is>
          <t>반응·혼잣말</t>
        </is>
      </c>
      <c r="E159" s="2" t="inlineStr"/>
      <c r="F159" s="2" t="inlineStr"/>
      <c r="G159" s="2" t="inlineStr"/>
      <c r="H159" s="3" t="inlineStr"/>
      <c r="I159" s="4" t="n"/>
      <c r="J159" s="4" t="n"/>
      <c r="K159" s="4" t="n"/>
    </row>
    <row r="160">
      <c r="A160" s="2" t="n">
        <v>158</v>
      </c>
      <c r="B160" s="2" t="inlineStr">
        <is>
          <t>17:06.1</t>
        </is>
      </c>
      <c r="C160" s="3" t="inlineStr">
        <is>
          <t>(숨소리)</t>
        </is>
      </c>
      <c r="D160" s="3" t="inlineStr">
        <is>
          <t>소리·감탄</t>
        </is>
      </c>
      <c r="E160" s="2" t="inlineStr"/>
      <c r="F160" s="2" t="inlineStr"/>
      <c r="G160" s="2" t="inlineStr"/>
      <c r="H160" s="3" t="inlineStr"/>
      <c r="I160" s="4" t="n"/>
      <c r="J160" s="4" t="n"/>
      <c r="K160" s="4" t="n"/>
    </row>
    <row r="161">
      <c r="A161" s="2" t="n">
        <v>159</v>
      </c>
      <c r="B161" s="2" t="inlineStr">
        <is>
          <t>17:33.0</t>
        </is>
      </c>
      <c r="C161" s="2" t="inlineStr">
        <is>
          <t>마키마한테 보여주고 싶지 않아</t>
        </is>
      </c>
      <c r="D161" s="5" t="inlineStr">
        <is>
          <t>옮김</t>
        </is>
      </c>
      <c r="E161" s="5" t="inlineStr">
        <is>
          <t>マキマさんに見られたくね～！</t>
        </is>
      </c>
      <c r="F161" s="5" t="inlineStr">
        <is>
          <t>맞음</t>
        </is>
      </c>
      <c r="G161" s="5" t="inlineStr"/>
      <c r="H161" s="3" t="inlineStr">
        <is>
          <t>うわ… / すげえどうでもいいシーンなのに…！ / マキマさんに見られたくね～！</t>
        </is>
      </c>
      <c r="I161" s="4" t="n"/>
      <c r="J161" s="4" t="n"/>
      <c r="K161" s="4" t="n"/>
    </row>
    <row r="162">
      <c r="A162" s="2" t="n">
        <v>160</v>
      </c>
      <c r="B162" s="2" t="inlineStr">
        <is>
          <t>17:38.0</t>
        </is>
      </c>
      <c r="C162" s="3" t="inlineStr">
        <is>
          <t>음~</t>
        </is>
      </c>
      <c r="D162" s="3" t="inlineStr">
        <is>
          <t>소리·감탄</t>
        </is>
      </c>
      <c r="E162" s="2" t="inlineStr"/>
      <c r="F162" s="2" t="inlineStr"/>
      <c r="G162" s="2" t="inlineStr"/>
      <c r="H162" s="3" t="inlineStr">
        <is>
          <t>うわ… / すげえどうでもいいシーンなのに…！ / マキマさんに見られたくね～！</t>
        </is>
      </c>
      <c r="I162" s="4" t="n"/>
      <c r="J162" s="4" t="n"/>
      <c r="K162" s="4" t="n"/>
    </row>
    <row r="163">
      <c r="A163" s="2" t="n">
        <v>161</v>
      </c>
      <c r="B163" s="2" t="inlineStr">
        <is>
          <t>17:39.8</t>
        </is>
      </c>
      <c r="C163" s="3" t="inlineStr">
        <is>
          <t>마키마도 우네</t>
        </is>
      </c>
      <c r="D163" s="3" t="inlineStr">
        <is>
          <t>반응·혼잣말</t>
        </is>
      </c>
      <c r="E163" s="2" t="inlineStr"/>
      <c r="F163" s="2" t="inlineStr"/>
      <c r="G163" s="2" t="inlineStr"/>
      <c r="H163" s="3" t="inlineStr">
        <is>
          <t>うわ… / すげえどうでもいいシーンなのに…！ / マキマさんに見られたくね～！</t>
        </is>
      </c>
      <c r="I163" s="4" t="n"/>
      <c r="J163" s="4" t="n"/>
      <c r="K163" s="4" t="n"/>
    </row>
    <row r="164">
      <c r="A164" s="2" t="n">
        <v>162</v>
      </c>
      <c r="B164" s="2" t="inlineStr">
        <is>
          <t>17:57.0</t>
        </is>
      </c>
      <c r="C164" s="3" t="inlineStr">
        <is>
          <t>오~</t>
        </is>
      </c>
      <c r="D164" s="3" t="inlineStr">
        <is>
          <t>소리·감탄</t>
        </is>
      </c>
      <c r="E164" s="2" t="inlineStr"/>
      <c r="F164" s="2" t="inlineStr"/>
      <c r="G164" s="2" t="inlineStr"/>
      <c r="H164" s="3" t="inlineStr">
        <is>
          <t>（デンジ）あのラスト / 絶対 死ぬまで 忘れないと思います / 私も</t>
        </is>
      </c>
      <c r="I164" s="4" t="n"/>
      <c r="J164" s="4" t="n"/>
      <c r="K164" s="4" t="n"/>
    </row>
    <row r="165">
      <c r="A165" s="2" t="n">
        <v>163</v>
      </c>
      <c r="B165" s="2" t="inlineStr">
        <is>
          <t>17:59.0</t>
        </is>
      </c>
      <c r="C165" s="2" t="inlineStr">
        <is>
          <t>あのラスト 그 마지막 장면 죽어도 이 잊을 수 없다고?</t>
        </is>
      </c>
      <c r="D165" s="5" t="inlineStr">
        <is>
          <t>따라함</t>
        </is>
      </c>
      <c r="E165" s="5" t="inlineStr">
        <is>
          <t>絶対 死ぬまで 忘れないと思います</t>
        </is>
      </c>
      <c r="F165" s="5" t="inlineStr">
        <is>
          <t>맞음</t>
        </is>
      </c>
      <c r="G165" s="5" t="inlineStr">
        <is>
          <t>따라 하고 옮김</t>
        </is>
      </c>
      <c r="H165" s="3" t="inlineStr">
        <is>
          <t>絶対 死ぬまで 忘れないと思います / 私も / 私も</t>
        </is>
      </c>
      <c r="I165" s="4" t="n"/>
      <c r="J165" s="4" t="n"/>
      <c r="K165" s="4" t="n"/>
    </row>
    <row r="166">
      <c r="A166" s="2" t="n">
        <v>164</v>
      </c>
      <c r="B166" s="2" t="inlineStr">
        <is>
          <t>18:09.5</t>
        </is>
      </c>
      <c r="C166" s="2" t="inlineStr">
        <is>
          <t>어허 뭐 지도 그랬다고 어</t>
        </is>
      </c>
      <c r="D166" s="5" t="inlineStr">
        <is>
          <t>옮김</t>
        </is>
      </c>
      <c r="E166" s="5" t="inlineStr">
        <is>
          <t>私も</t>
        </is>
      </c>
      <c r="F166" s="5" t="inlineStr">
        <is>
          <t>맞음</t>
        </is>
      </c>
      <c r="G166" s="5" t="inlineStr">
        <is>
          <t>私も</t>
        </is>
      </c>
      <c r="H166" s="3" t="inlineStr">
        <is>
          <t>私も / 私も / あれだけで今日のチケット代の 元取れたね</t>
        </is>
      </c>
      <c r="I166" s="4" t="n"/>
      <c r="J166" s="4" t="n"/>
      <c r="K166" s="4" t="n"/>
    </row>
    <row r="167">
      <c r="A167" s="2" t="n">
        <v>165</v>
      </c>
      <c r="B167" s="2" t="inlineStr">
        <is>
          <t>18:17.6</t>
        </is>
      </c>
      <c r="C167" s="2" t="inlineStr">
        <is>
          <t>마키마상은 제 저한테 마음이 있다고 생각하세요</t>
        </is>
      </c>
      <c r="D167" s="7" t="inlineStr">
        <is>
          <t>옮김</t>
        </is>
      </c>
      <c r="E167" s="7" t="inlineStr">
        <is>
          <t>俺に心ってあると思います？</t>
        </is>
      </c>
      <c r="F167" s="7" t="inlineStr">
        <is>
          <t>대체로 맞음</t>
        </is>
      </c>
      <c r="G167" s="7" t="inlineStr">
        <is>
          <t>心 → 마음</t>
        </is>
      </c>
      <c r="H167" s="3" t="inlineStr">
        <is>
          <t>あれだけで今日のチケット代の 元取れたね / マキマさんは / 俺に心ってあると思います？</t>
        </is>
      </c>
      <c r="I167" s="4" t="n"/>
      <c r="J167" s="4" t="n"/>
      <c r="K167" s="4" t="n"/>
    </row>
    <row r="168">
      <c r="A168" s="2" t="n">
        <v>166</v>
      </c>
      <c r="B168" s="2" t="inlineStr">
        <is>
          <t>18:25.6</t>
        </is>
      </c>
      <c r="C168" s="2" t="inlineStr">
        <is>
          <t>왜 그런 どうして 도대체 왜 그런 질문을 하는 거야</t>
        </is>
      </c>
      <c r="D168" s="5" t="inlineStr">
        <is>
          <t>옮김</t>
        </is>
      </c>
      <c r="E168" s="5" t="inlineStr">
        <is>
          <t>どうして そんな事を聞くの？</t>
        </is>
      </c>
      <c r="F168" s="5" t="inlineStr">
        <is>
          <t>맞음</t>
        </is>
      </c>
      <c r="G168" s="5" t="inlineStr"/>
      <c r="H168" s="3" t="inlineStr">
        <is>
          <t>俺に心ってあると思います？ / どうして そんな事を聞くの？ / なんとなく…</t>
        </is>
      </c>
      <c r="I168" s="4" t="n"/>
      <c r="J168" s="4" t="n"/>
      <c r="K168" s="4" t="n"/>
    </row>
    <row r="169">
      <c r="A169" s="2" t="n">
        <v>167</v>
      </c>
      <c r="B169" s="2" t="inlineStr">
        <is>
          <t>18:32.4</t>
        </is>
      </c>
      <c r="C169" s="2" t="inlineStr">
        <is>
          <t>なんとなく</t>
        </is>
      </c>
      <c r="D169" s="5" t="inlineStr">
        <is>
          <t>따라함</t>
        </is>
      </c>
      <c r="E169" s="5" t="inlineStr">
        <is>
          <t>なんとなく…</t>
        </is>
      </c>
      <c r="F169" s="5" t="inlineStr">
        <is>
          <t>맞음</t>
        </is>
      </c>
      <c r="G169" s="5" t="inlineStr"/>
      <c r="H169" s="3" t="inlineStr">
        <is>
          <t>俺に心ってあると思います？ / どうして そんな事を聞くの？ / なんとなく…</t>
        </is>
      </c>
      <c r="I169" s="4" t="n"/>
      <c r="J169" s="4" t="n"/>
      <c r="K169" s="4" t="n"/>
    </row>
    <row r="170">
      <c r="A170" s="2" t="n">
        <v>168</v>
      </c>
      <c r="B170" s="2" t="inlineStr">
        <is>
          <t>18:39.0</t>
        </is>
      </c>
      <c r="C170" s="3" t="inlineStr">
        <is>
          <t>오?!</t>
        </is>
      </c>
      <c r="D170" s="3" t="inlineStr">
        <is>
          <t>소리·감탄</t>
        </is>
      </c>
      <c r="E170" s="2" t="inlineStr"/>
      <c r="F170" s="2" t="inlineStr"/>
      <c r="G170" s="2" t="inlineStr"/>
      <c r="H170" s="3" t="inlineStr">
        <is>
          <t>どうして そんな事を聞くの？ / なんとなく… / え!?</t>
        </is>
      </c>
      <c r="I170" s="4" t="n"/>
      <c r="J170" s="4" t="n"/>
      <c r="K170" s="4" t="n"/>
    </row>
    <row r="171">
      <c r="A171" s="2" t="n">
        <v>169</v>
      </c>
      <c r="B171" s="2" t="inlineStr">
        <is>
          <t>18:57.0</t>
        </is>
      </c>
      <c r="C171" s="2" t="inlineStr">
        <is>
          <t>아 어 있어요</t>
        </is>
      </c>
      <c r="D171" s="5" t="inlineStr">
        <is>
          <t>옮김</t>
        </is>
      </c>
      <c r="E171" s="5" t="inlineStr">
        <is>
          <t>あったよ</t>
        </is>
      </c>
      <c r="F171" s="5" t="inlineStr">
        <is>
          <t>맞음</t>
        </is>
      </c>
      <c r="G171" s="5" t="inlineStr"/>
      <c r="H171" s="3" t="inlineStr">
        <is>
          <t>あったよ / はっ… / あり…</t>
        </is>
      </c>
      <c r="I171" s="4" t="n"/>
      <c r="J171" s="4" t="n"/>
      <c r="K171" s="4" t="n"/>
    </row>
    <row r="172">
      <c r="A172" s="2" t="n">
        <v>170</v>
      </c>
      <c r="B172" s="2" t="inlineStr">
        <is>
          <t>18:59.7</t>
        </is>
      </c>
      <c r="C172" s="2" t="inlineStr">
        <is>
          <t>있다요</t>
        </is>
      </c>
      <c r="D172" s="5" t="inlineStr">
        <is>
          <t>옮김</t>
        </is>
      </c>
      <c r="E172" s="5" t="inlineStr">
        <is>
          <t>ありました…</t>
        </is>
      </c>
      <c r="F172" s="5" t="inlineStr">
        <is>
          <t>맞음</t>
        </is>
      </c>
      <c r="G172" s="5" t="inlineStr"/>
      <c r="H172" s="3" t="inlineStr">
        <is>
          <t>はっ… / あり… / ありました…</t>
        </is>
      </c>
      <c r="I172" s="4" t="n"/>
      <c r="J172" s="4" t="n"/>
      <c r="K172" s="4" t="n"/>
    </row>
    <row r="173">
      <c r="A173" s="2" t="n">
        <v>171</v>
      </c>
      <c r="B173" s="2" t="inlineStr">
        <is>
          <t>19:04.8</t>
        </is>
      </c>
      <c r="C173" s="3" t="inlineStr">
        <is>
          <t>저 찌찌 아니야</t>
        </is>
      </c>
      <c r="D173" s="3" t="inlineStr">
        <is>
          <t>반응·혼잣말</t>
        </is>
      </c>
      <c r="E173" s="2" t="inlineStr"/>
      <c r="F173" s="2" t="inlineStr"/>
      <c r="G173" s="2" t="inlineStr"/>
      <c r="H173" s="3" t="inlineStr">
        <is>
          <t>はっ… / あり… / ありました…</t>
        </is>
      </c>
      <c r="I173" s="4" t="n"/>
      <c r="J173" s="4" t="n"/>
      <c r="K173" s="4" t="n"/>
    </row>
    <row r="174">
      <c r="A174" s="2" t="n">
        <v>172</v>
      </c>
      <c r="B174" s="2" t="inlineStr">
        <is>
          <t>19:06.4</t>
        </is>
      </c>
      <c r="C174" s="3" t="inlineStr">
        <is>
          <t>아니 꼭지</t>
        </is>
      </c>
      <c r="D174" s="3" t="inlineStr">
        <is>
          <t>반응·혼잣말</t>
        </is>
      </c>
      <c r="E174" s="2" t="inlineStr"/>
      <c r="F174" s="2" t="inlineStr"/>
      <c r="G174" s="2" t="inlineStr"/>
      <c r="H174" s="3" t="inlineStr">
        <is>
          <t>はっ… / あり… / ありました…</t>
        </is>
      </c>
      <c r="I174" s="4" t="n"/>
      <c r="J174" s="4" t="n"/>
      <c r="K174" s="4" t="n"/>
    </row>
    <row r="175">
      <c r="A175" s="2" t="n">
        <v>173</v>
      </c>
      <c r="B175" s="2" t="inlineStr">
        <is>
          <t>19:09.0</t>
        </is>
      </c>
      <c r="C175" s="3" t="inlineStr">
        <is>
          <t>(웃음)</t>
        </is>
      </c>
      <c r="D175" s="3" t="inlineStr">
        <is>
          <t>소리·감탄</t>
        </is>
      </c>
      <c r="E175" s="2" t="inlineStr"/>
      <c r="F175" s="2" t="inlineStr"/>
      <c r="G175" s="2" t="inlineStr"/>
      <c r="H175" s="3" t="inlineStr">
        <is>
          <t>はっ… / あり… / ありました…</t>
        </is>
      </c>
      <c r="I175" s="4" t="n"/>
      <c r="J175" s="4" t="n"/>
      <c r="K175" s="4" t="n"/>
    </row>
    <row r="176">
      <c r="A176" s="2" t="n">
        <v>174</v>
      </c>
      <c r="B176" s="2" t="inlineStr">
        <is>
          <t>19:11.1</t>
        </is>
      </c>
      <c r="C176" s="3" t="inlineStr">
        <is>
          <t>아 아 마키마 좋아</t>
        </is>
      </c>
      <c r="D176" s="3" t="inlineStr">
        <is>
          <t>반응·혼잣말</t>
        </is>
      </c>
      <c r="E176" s="2" t="inlineStr"/>
      <c r="F176" s="2" t="inlineStr"/>
      <c r="G176" s="2" t="inlineStr"/>
      <c r="H176" s="3" t="inlineStr">
        <is>
          <t>はっ… / あり… / ありました…</t>
        </is>
      </c>
      <c r="I176" s="4" t="n"/>
      <c r="J176" s="4" t="n"/>
      <c r="K176" s="4" t="n"/>
    </row>
    <row r="177">
      <c r="A177" s="2" t="n">
        <v>175</v>
      </c>
      <c r="B177" s="2" t="inlineStr">
        <is>
          <t>19:20.5</t>
        </is>
      </c>
      <c r="C177" s="3" t="inlineStr">
        <is>
          <t>그래서 위험해.</t>
        </is>
      </c>
      <c r="D177" s="3" t="inlineStr">
        <is>
          <t>반응·혼잣말</t>
        </is>
      </c>
      <c r="E177" s="2" t="inlineStr"/>
      <c r="F177" s="2" t="inlineStr"/>
      <c r="G177" s="2" t="inlineStr"/>
      <c r="H177" s="3" t="inlineStr">
        <is>
          <t>はっ… / あり… / ありました…</t>
        </is>
      </c>
      <c r="I177" s="4" t="n"/>
      <c r="J177" s="4" t="n"/>
      <c r="K177" s="4" t="n"/>
    </row>
    <row r="178">
      <c r="A178" s="2" t="n">
        <v>176</v>
      </c>
      <c r="B178" s="2" t="inlineStr">
        <is>
          <t>19:37.0</t>
        </is>
      </c>
      <c r="C178" s="2" t="inlineStr">
        <is>
          <t>심장이 두근두근하니까 마음이 있다고 얘기하는 건 같네.</t>
        </is>
      </c>
      <c r="D178" s="5" t="inlineStr">
        <is>
          <t>옮김</t>
        </is>
      </c>
      <c r="E178" s="5" t="inlineStr">
        <is>
          <t>オレ心あんじゃ～ん！</t>
        </is>
      </c>
      <c r="F178" s="5" t="inlineStr">
        <is>
          <t>맞음</t>
        </is>
      </c>
      <c r="G178" s="5" t="inlineStr"/>
      <c r="H178" s="3" t="inlineStr">
        <is>
          <t>（デンジ）そっか…！ / ドキドキするっつー事ぁ / オレ心あんじゃ～ん！</t>
        </is>
      </c>
      <c r="I178" s="4" t="n"/>
      <c r="J178" s="4" t="n"/>
      <c r="K178" s="4" t="n"/>
    </row>
    <row r="179">
      <c r="A179" s="2" t="n">
        <v>177</v>
      </c>
      <c r="B179" s="2" t="inlineStr">
        <is>
          <t>19:51.5</t>
        </is>
      </c>
      <c r="C179" s="2" t="inlineStr">
        <is>
          <t>악마 때문에</t>
        </is>
      </c>
      <c r="D179" s="10" t="inlineStr">
        <is>
          <t>옮김</t>
        </is>
      </c>
      <c r="E179" s="10" t="inlineStr">
        <is>
          <t>（女性）悪魔被害を受けた 子供達に募金をお願いします!!</t>
        </is>
      </c>
      <c r="F179" s="10" t="inlineStr">
        <is>
          <t>조금 맞음</t>
        </is>
      </c>
      <c r="G179" s="10" t="inlineStr">
        <is>
          <t>悪魔被害를 악마 때문에</t>
        </is>
      </c>
      <c r="H179" s="3" t="inlineStr">
        <is>
          <t>オレ心あんじゃ～ん！ / お願いします!! / 心あるから募金もできるぜ！</t>
        </is>
      </c>
      <c r="I179" s="4" t="n"/>
      <c r="J179" s="4" t="n"/>
      <c r="K179" s="4" t="n"/>
    </row>
    <row r="180">
      <c r="A180" s="2" t="n">
        <v>178</v>
      </c>
      <c r="B180" s="2" t="inlineStr">
        <is>
          <t>19:53.0</t>
        </is>
      </c>
      <c r="C180" s="2" t="inlineStr">
        <is>
          <t>집이 없는 애들 도와준다는 말인가?</t>
        </is>
      </c>
      <c r="D180" s="10" t="inlineStr">
        <is>
          <t>추측</t>
        </is>
      </c>
      <c r="E180" s="10" t="inlineStr">
        <is>
          <t>（女性）悪魔被害を受けた 子供達に募金をお願いします!!</t>
        </is>
      </c>
      <c r="F180" s="10" t="inlineStr">
        <is>
          <t>조금 맞음</t>
        </is>
      </c>
      <c r="G180" s="10" t="inlineStr">
        <is>
          <t>피해 아이들 모금 → 집 없는 애들 도와준다</t>
        </is>
      </c>
      <c r="H180" s="3" t="inlineStr">
        <is>
          <t>オレ心あんじゃ～ん！ / お願いします!! / 心あるから募金もできるぜ！</t>
        </is>
      </c>
      <c r="I180" s="4" t="n"/>
      <c r="J180" s="4" t="n"/>
      <c r="K180" s="4" t="n"/>
    </row>
    <row r="181">
      <c r="A181" s="2" t="n">
        <v>179</v>
      </c>
      <c r="B181" s="2" t="inlineStr">
        <is>
          <t>20:06.2</t>
        </is>
      </c>
      <c r="C181" s="3" t="inlineStr">
        <is>
          <t>데이지.</t>
        </is>
      </c>
      <c r="D181" s="3" t="inlineStr">
        <is>
          <t>반응·혼잣말</t>
        </is>
      </c>
      <c r="E181" s="2" t="inlineStr"/>
      <c r="F181" s="2" t="inlineStr"/>
      <c r="G181" s="2" t="inlineStr"/>
      <c r="H181" s="3" t="inlineStr">
        <is>
          <t>（女性） ありがとうございます / 募金してくださった方に 花をプレゼントしています！ / ふ～ん…</t>
        </is>
      </c>
      <c r="I181" s="4" t="n"/>
      <c r="J181" s="4" t="n"/>
      <c r="K181" s="4" t="n"/>
    </row>
    <row r="182">
      <c r="A182" s="2" t="n">
        <v>180</v>
      </c>
      <c r="B182" s="2" t="inlineStr">
        <is>
          <t>20:21.0</t>
        </is>
      </c>
      <c r="C182" s="3" t="inlineStr">
        <is>
          <t>음.</t>
        </is>
      </c>
      <c r="D182" s="3" t="inlineStr">
        <is>
          <t>소리·감탄</t>
        </is>
      </c>
      <c r="E182" s="2" t="inlineStr"/>
      <c r="F182" s="2" t="inlineStr"/>
      <c r="G182" s="2" t="inlineStr"/>
      <c r="H182" s="3" t="inlineStr">
        <is>
          <t>え… / （デンジ）キレイって思えんのも 心があるからなんだな / （大学生たち）え… えぇ!? ええ…!?</t>
        </is>
      </c>
      <c r="I182" s="4" t="n"/>
      <c r="J182" s="4" t="n"/>
      <c r="K182" s="4" t="n"/>
    </row>
    <row r="183">
      <c r="A183" s="2" t="n">
        <v>181</v>
      </c>
      <c r="B183" s="2" t="inlineStr">
        <is>
          <t>20:27.0</t>
        </is>
      </c>
      <c r="C183" s="2" t="inlineStr">
        <is>
          <t>역시 마키마상이다.</t>
        </is>
      </c>
      <c r="D183" s="5" t="inlineStr">
        <is>
          <t>옮김</t>
        </is>
      </c>
      <c r="E183" s="5" t="inlineStr">
        <is>
          <t>（デンジ）さすがマキマさんだ</t>
        </is>
      </c>
      <c r="F183" s="5" t="inlineStr">
        <is>
          <t>맞음</t>
        </is>
      </c>
      <c r="G183" s="5" t="inlineStr"/>
      <c r="H183" s="3" t="inlineStr">
        <is>
          <t>（大学生たち）え… えぇ!? ええ…!? / （デンジ）さすがマキマさんだ / 話しただけで胸んモヤモヤが 消えたぜ</t>
        </is>
      </c>
      <c r="I183" s="4" t="n"/>
      <c r="J183" s="4" t="n"/>
      <c r="K183" s="4" t="n"/>
    </row>
    <row r="184">
      <c r="A184" s="2" t="n">
        <v>182</v>
      </c>
      <c r="B184" s="2" t="inlineStr">
        <is>
          <t>20:39.0</t>
        </is>
      </c>
      <c r="C184" s="2" t="inlineStr">
        <is>
          <t>銃の悪魔 총의 총의 악마의 살점을 갖다 주면은</t>
        </is>
      </c>
      <c r="D184" s="5" t="inlineStr">
        <is>
          <t>따라함</t>
        </is>
      </c>
      <c r="E184" s="5" t="inlineStr">
        <is>
          <t>銃の悪魔ん肉片集めたら</t>
        </is>
      </c>
      <c r="F184" s="5" t="inlineStr">
        <is>
          <t>맞음</t>
        </is>
      </c>
      <c r="G184" s="5" t="inlineStr">
        <is>
          <t>따라 하고 옮김</t>
        </is>
      </c>
      <c r="H184" s="3" t="inlineStr">
        <is>
          <t>話しただけで胸んモヤモヤが 消えたぜ / 銃の悪魔ん肉片集めたら / なんでも願い 聞いてくれるっつってたけど</t>
        </is>
      </c>
      <c r="I184" s="4" t="n"/>
      <c r="J184" s="4" t="n"/>
      <c r="K184" s="4" t="n"/>
    </row>
    <row r="185">
      <c r="A185" s="2" t="n">
        <v>183</v>
      </c>
      <c r="B185" s="2" t="inlineStr">
        <is>
          <t>20:46.0</t>
        </is>
      </c>
      <c r="C185" s="2" t="inlineStr">
        <is>
          <t>소원으로 아무거나 소원을 하나 들어준다고 했나? 그치 옛날에 그랬지.</t>
        </is>
      </c>
      <c r="D185" s="5" t="inlineStr">
        <is>
          <t>옮김</t>
        </is>
      </c>
      <c r="E185" s="5" t="inlineStr">
        <is>
          <t>なんでも願い 聞いてくれるっつってたけど</t>
        </is>
      </c>
      <c r="F185" s="5" t="inlineStr">
        <is>
          <t>맞음</t>
        </is>
      </c>
      <c r="G185" s="5" t="inlineStr"/>
      <c r="H185" s="3" t="inlineStr">
        <is>
          <t>話しただけで胸んモヤモヤが 消えたぜ / 銃の悪魔ん肉片集めたら / なんでも願い 聞いてくれるっつってたけど</t>
        </is>
      </c>
      <c r="I185" s="4" t="n"/>
      <c r="J185" s="4" t="n"/>
      <c r="K185" s="4" t="n"/>
    </row>
    <row r="186">
      <c r="A186" s="2" t="n">
        <v>184</v>
      </c>
      <c r="B186" s="2" t="inlineStr">
        <is>
          <t>20:55.2</t>
        </is>
      </c>
      <c r="C186" s="2" t="inlineStr">
        <is>
          <t>付き合ってほしいかな。</t>
        </is>
      </c>
      <c r="D186" s="5" t="inlineStr">
        <is>
          <t>따라함</t>
        </is>
      </c>
      <c r="E186" s="5" t="inlineStr">
        <is>
          <t>そしたらやっぱ 俺ぁ付き合って欲しいかな～…</t>
        </is>
      </c>
      <c r="F186" s="5" t="inlineStr">
        <is>
          <t>맞음</t>
        </is>
      </c>
      <c r="G186" s="5" t="inlineStr"/>
      <c r="H186" s="3" t="inlineStr">
        <is>
          <t>銃の悪魔ん肉片集めたら / なんでも願い 聞いてくれるっつってたけど / そしたらやっぱ 俺ぁ付き合って欲しいかな～…</t>
        </is>
      </c>
      <c r="I186" s="4" t="n"/>
      <c r="J186" s="4" t="n"/>
      <c r="K186" s="4" t="n"/>
    </row>
    <row r="187">
      <c r="A187" s="2" t="n">
        <v>185</v>
      </c>
      <c r="B187" s="2" t="inlineStr">
        <is>
          <t>20:59.0</t>
        </is>
      </c>
      <c r="C187" s="2" t="inlineStr">
        <is>
          <t>사귀기 원하니까.</t>
        </is>
      </c>
      <c r="D187" s="7" t="inlineStr">
        <is>
          <t>옮김</t>
        </is>
      </c>
      <c r="E187" s="7" t="inlineStr">
        <is>
          <t>そしたらやっぱ 俺ぁ付き合って欲しいかな～…</t>
        </is>
      </c>
      <c r="F187" s="7" t="inlineStr">
        <is>
          <t>대체로 맞음</t>
        </is>
      </c>
      <c r="G187" s="7" t="inlineStr"/>
      <c r="H187" s="3" t="inlineStr">
        <is>
          <t>銃の悪魔ん肉片集めたら / なんでも願い 聞いてくれるっつってたけど / そしたらやっぱ 俺ぁ付き合って欲しいかな～…</t>
        </is>
      </c>
      <c r="I187" s="4" t="n"/>
      <c r="J187" s="4" t="n"/>
      <c r="K187" s="4" t="n"/>
    </row>
    <row r="188">
      <c r="A188" s="2" t="n">
        <v>186</v>
      </c>
      <c r="B188" s="2" t="inlineStr">
        <is>
          <t>21:16.0</t>
        </is>
      </c>
      <c r="C188" s="2" t="inlineStr">
        <is>
          <t>아 마키마상이 아니고 다른 사람의 가슴을 만지고 키스를 했지만 내 마음은 마키마거다. 음.</t>
        </is>
      </c>
      <c r="D188" s="5" t="inlineStr">
        <is>
          <t>옮김</t>
        </is>
      </c>
      <c r="E188" s="5" t="inlineStr">
        <is>
          <t>マキマさんじゃない人の胸もんだり キスしちゃったけど</t>
        </is>
      </c>
      <c r="F188" s="5" t="inlineStr">
        <is>
          <t>맞음</t>
        </is>
      </c>
      <c r="G188" s="5" t="inlineStr">
        <is>
          <t>두 줄을 옮김</t>
        </is>
      </c>
      <c r="H188" s="3" t="inlineStr">
        <is>
          <t>マキマさんじゃない人の胸もんだり キスしちゃったけど / 俺の心は マキマさんだけのモンだ / 絶対に他の人を 好きになったりはしねえ!!</t>
        </is>
      </c>
      <c r="I188" s="4" t="n"/>
      <c r="J188" s="4" t="n"/>
      <c r="K188" s="4" t="n"/>
    </row>
    <row r="189">
      <c r="A189" s="2" t="n">
        <v>187</v>
      </c>
      <c r="B189" s="2" t="inlineStr">
        <is>
          <t>21:27.4</t>
        </is>
      </c>
      <c r="C189" s="2" t="inlineStr">
        <is>
          <t>절대로 다른 사람을</t>
        </is>
      </c>
      <c r="D189" s="5" t="inlineStr">
        <is>
          <t>옮김</t>
        </is>
      </c>
      <c r="E189" s="5" t="inlineStr">
        <is>
          <t>絶対に他の人を 好きになったりはしねえ!!</t>
        </is>
      </c>
      <c r="F189" s="5" t="inlineStr">
        <is>
          <t>맞음</t>
        </is>
      </c>
      <c r="G189" s="5" t="inlineStr">
        <is>
          <t>앞부분</t>
        </is>
      </c>
      <c r="H189" s="3" t="inlineStr">
        <is>
          <t>マキマさんじゃない人の胸もんだり キスしちゃったけど / 俺の心は マキマさんだけのモンだ / 絶対に他の人を 好きになったりはしねえ!!</t>
        </is>
      </c>
      <c r="I189" s="4" t="n"/>
      <c r="J189" s="4" t="n"/>
      <c r="K189" s="4" t="n"/>
    </row>
    <row r="190">
      <c r="A190" s="2" t="n">
        <v>188</v>
      </c>
      <c r="B190" s="2" t="inlineStr">
        <is>
          <t>21:29.8</t>
        </is>
      </c>
      <c r="C190" s="2" t="inlineStr">
        <is>
          <t>사귀는 거나 하는 건 안 한다는 거지.</t>
        </is>
      </c>
      <c r="D190" s="7" t="inlineStr">
        <is>
          <t>옮김</t>
        </is>
      </c>
      <c r="E190" s="7" t="inlineStr">
        <is>
          <t>絶対に他の人を 好きになったりはしねえ!!</t>
        </is>
      </c>
      <c r="F190" s="7" t="inlineStr">
        <is>
          <t>대체로 맞음</t>
        </is>
      </c>
      <c r="G190" s="7" t="inlineStr">
        <is>
          <t>好きになる → 사귀다</t>
        </is>
      </c>
      <c r="H190" s="3" t="inlineStr">
        <is>
          <t>マキマさんじゃない人の胸もんだり キスしちゃったけど / 俺の心は マキマさんだけのモンだ / 絶対に他の人を 好きになったりはしねえ!!</t>
        </is>
      </c>
      <c r="I190" s="4" t="n"/>
      <c r="J190" s="4" t="n"/>
      <c r="K190" s="4" t="n"/>
    </row>
    <row r="191">
      <c r="A191" s="2" t="n">
        <v>189</v>
      </c>
      <c r="B191" s="2" t="inlineStr">
        <is>
          <t>21:33.0</t>
        </is>
      </c>
      <c r="C191" s="3" t="inlineStr">
        <is>
          <t>뭔 말인지 알았고.</t>
        </is>
      </c>
      <c r="D191" s="3" t="inlineStr">
        <is>
          <t>반응·혼잣말</t>
        </is>
      </c>
      <c r="E191" s="2" t="inlineStr"/>
      <c r="F191" s="2" t="inlineStr"/>
      <c r="G191" s="2" t="inlineStr"/>
      <c r="H191" s="3" t="inlineStr">
        <is>
          <t>マキマさんじゃない人の胸もんだり キスしちゃったけど / 俺の心は マキマさんだけのモンだ / 絶対に他の人を 好きになったりはしねえ!!</t>
        </is>
      </c>
      <c r="I191" s="4" t="n"/>
      <c r="J191" s="4" t="n"/>
      <c r="K191" s="4" t="n"/>
    </row>
    <row r="192">
      <c r="A192" s="2" t="n">
        <v>190</v>
      </c>
      <c r="B192" s="2" t="inlineStr">
        <is>
          <t>21:53.5</t>
        </is>
      </c>
      <c r="C192" s="2" t="inlineStr">
        <is>
          <t>들키면 안 된다고 하는 말 같고.</t>
        </is>
      </c>
      <c r="D192" s="7" t="inlineStr">
        <is>
          <t>추측</t>
        </is>
      </c>
      <c r="E192" s="7" t="inlineStr">
        <is>
          <t>人にバレたら 表歩けなくなるだろ！</t>
        </is>
      </c>
      <c r="F192" s="7" t="inlineStr">
        <is>
          <t>대체로 맞음</t>
        </is>
      </c>
      <c r="G192" s="7" t="inlineStr"/>
      <c r="H192" s="3" t="inlineStr">
        <is>
          <t>ビーム！ てめえは ひっそりしてろよ！ / 人にバレたら 表歩けなくなるだろ！ / ハイ！</t>
        </is>
      </c>
      <c r="I192" s="4" t="n"/>
      <c r="J192" s="4" t="n"/>
      <c r="K192" s="4" t="n"/>
    </row>
    <row r="193">
      <c r="A193" s="2" t="n">
        <v>191</v>
      </c>
      <c r="B193" s="2" t="inlineStr">
        <is>
          <t>21:59.6</t>
        </is>
      </c>
      <c r="C193" s="3" t="inlineStr">
        <is>
          <t>으흠.</t>
        </is>
      </c>
      <c r="D193" s="3" t="inlineStr">
        <is>
          <t>반응·혼잣말</t>
        </is>
      </c>
      <c r="E193" s="2" t="inlineStr"/>
      <c r="F193" s="2" t="inlineStr"/>
      <c r="G193" s="2" t="inlineStr"/>
      <c r="H193" s="3" t="inlineStr">
        <is>
          <t>人にバレたら 表歩けなくなるだろ！ / ハイ！ / なんで魔人はみんな 馬鹿みてえな名前してんだ…</t>
        </is>
      </c>
      <c r="I193" s="4" t="n"/>
      <c r="J193" s="4" t="n"/>
      <c r="K193" s="4" t="n"/>
    </row>
    <row r="194">
      <c r="A194" s="2" t="n">
        <v>192</v>
      </c>
      <c r="B194" s="2" t="inlineStr">
        <is>
          <t>22:03.0</t>
        </is>
      </c>
      <c r="C194" s="2" t="inlineStr">
        <is>
          <t>바보 같은 이름 쓰냐?</t>
        </is>
      </c>
      <c r="D194" s="5" t="inlineStr">
        <is>
          <t>옮김</t>
        </is>
      </c>
      <c r="E194" s="5" t="inlineStr">
        <is>
          <t>なんで魔人はみんな 馬鹿みてえな名前してんだ…</t>
        </is>
      </c>
      <c r="F194" s="5" t="inlineStr">
        <is>
          <t>맞음</t>
        </is>
      </c>
      <c r="G194" s="5" t="inlineStr"/>
      <c r="H194" s="3" t="inlineStr">
        <is>
          <t>人にバレたら 表歩けなくなるだろ！ / ハイ！ / なんで魔人はみんな 馬鹿みてえな名前してんだ…</t>
        </is>
      </c>
      <c r="I194" s="4" t="n"/>
      <c r="J194" s="4" t="n"/>
      <c r="K194" s="4" t="n"/>
    </row>
    <row r="195">
      <c r="A195" s="2" t="n">
        <v>193</v>
      </c>
      <c r="B195" s="2" t="inlineStr">
        <is>
          <t>22:18.2</t>
        </is>
      </c>
      <c r="C195" s="2" t="inlineStr">
        <is>
          <t>우산 갖고 오길 우산 갖고 왔어야 됐나? 뭐 이런 말 같고.</t>
        </is>
      </c>
      <c r="D195" s="11" t="inlineStr">
        <is>
          <t>추측</t>
        </is>
      </c>
      <c r="E195" s="11" t="inlineStr"/>
      <c r="F195" s="11" t="inlineStr">
        <is>
          <t>확인 불가</t>
        </is>
      </c>
      <c r="G195" s="11" t="inlineStr">
        <is>
          <t>짝지을 대사를 못 찾음</t>
        </is>
      </c>
      <c r="H195" s="3" t="inlineStr">
        <is>
          <t>お？ / （少女）わー！ （デンジ）お？ / （少女）ひー</t>
        </is>
      </c>
      <c r="I195" s="4" t="n"/>
      <c r="J195" s="4" t="n"/>
      <c r="K195" s="4" t="n"/>
    </row>
    <row r="196">
      <c r="A196" s="2" t="n">
        <v>194</v>
      </c>
      <c r="B196" s="2" t="inlineStr">
        <is>
          <t>22:32.5</t>
        </is>
      </c>
      <c r="C196" s="2" t="inlineStr">
        <is>
          <t>いよいよすごい雨ですね。</t>
        </is>
      </c>
      <c r="D196" s="7" t="inlineStr">
        <is>
          <t>따라함</t>
        </is>
      </c>
      <c r="E196" s="7" t="inlineStr">
        <is>
          <t>いやいや スゴイ雨ですね</t>
        </is>
      </c>
      <c r="F196" s="7" t="inlineStr">
        <is>
          <t>대체로 맞음</t>
        </is>
      </c>
      <c r="G196" s="7" t="inlineStr">
        <is>
          <t>いやいや → いよいよ</t>
        </is>
      </c>
      <c r="H196" s="3" t="inlineStr">
        <is>
          <t>（少女）ひー / （少女）わあ　どうも どうも / いやいや スゴイ雨ですね</t>
        </is>
      </c>
      <c r="I196" s="4" t="n"/>
      <c r="J196" s="4" t="n"/>
      <c r="K196" s="4" t="n"/>
    </row>
    <row r="197">
      <c r="A197" s="2" t="n">
        <v>195</v>
      </c>
      <c r="B197" s="2" t="inlineStr">
        <is>
          <t>22:36.0</t>
        </is>
      </c>
      <c r="C197" s="2" t="inlineStr">
        <is>
          <t>이거 이거 굉장한 비네요</t>
        </is>
      </c>
      <c r="D197" s="5" t="inlineStr">
        <is>
          <t>옮김</t>
        </is>
      </c>
      <c r="E197" s="5" t="inlineStr">
        <is>
          <t>いやいや スゴイ雨ですね</t>
        </is>
      </c>
      <c r="F197" s="5" t="inlineStr">
        <is>
          <t>맞음</t>
        </is>
      </c>
      <c r="G197" s="5" t="inlineStr"/>
      <c r="H197" s="3" t="inlineStr">
        <is>
          <t>（少女）ひー / （少女）わあ　どうも どうも / いやいや スゴイ雨ですね</t>
        </is>
      </c>
      <c r="I197" s="4" t="n"/>
      <c r="J197" s="4" t="n"/>
      <c r="K197" s="4" t="n"/>
    </row>
    <row r="198">
      <c r="A198" s="2" t="n">
        <v>196</v>
      </c>
      <c r="B198" s="2" t="inlineStr">
        <is>
          <t>22:41.0</t>
        </is>
      </c>
      <c r="C198" s="3" t="inlineStr">
        <is>
          <t>어</t>
        </is>
      </c>
      <c r="D198" s="3" t="inlineStr">
        <is>
          <t>소리·감탄</t>
        </is>
      </c>
      <c r="E198" s="2" t="inlineStr"/>
      <c r="F198" s="2" t="inlineStr"/>
      <c r="G198" s="2" t="inlineStr"/>
      <c r="H198" s="3" t="inlineStr">
        <is>
          <t>（少女）わあ　どうも どうも / いやいや スゴイ雨ですね / あ～… ああ</t>
        </is>
      </c>
      <c r="I198" s="4" t="n"/>
      <c r="J198" s="4" t="n"/>
      <c r="K198" s="4" t="n"/>
    </row>
    <row r="199">
      <c r="A199" s="2" t="n">
        <v>197</v>
      </c>
      <c r="B199" s="2" t="inlineStr">
        <is>
          <t>22:42.0</t>
        </is>
      </c>
      <c r="C199" s="3" t="inlineStr">
        <is>
          <t>음</t>
        </is>
      </c>
      <c r="D199" s="3" t="inlineStr">
        <is>
          <t>소리·감탄</t>
        </is>
      </c>
      <c r="E199" s="2" t="inlineStr"/>
      <c r="F199" s="2" t="inlineStr"/>
      <c r="G199" s="2" t="inlineStr"/>
      <c r="H199" s="3" t="inlineStr">
        <is>
          <t>いやいや スゴイ雨ですね / あ～… ああ / （少女）天気予報は確か…</t>
        </is>
      </c>
      <c r="I199" s="4" t="n"/>
      <c r="J199" s="4" t="n"/>
      <c r="K199" s="4" t="n"/>
    </row>
    <row r="200">
      <c r="A200" s="2" t="n">
        <v>198</v>
      </c>
      <c r="B200" s="2" t="inlineStr">
        <is>
          <t>23:15.0</t>
        </is>
      </c>
      <c r="C200" s="2" t="inlineStr">
        <is>
          <t>あなたの顔死んだうちに犬</t>
        </is>
      </c>
      <c r="D200" s="7" t="inlineStr">
        <is>
          <t>따라함</t>
        </is>
      </c>
      <c r="E200" s="7" t="inlineStr">
        <is>
          <t>死んだウチの犬に似ていて…</t>
        </is>
      </c>
      <c r="F200" s="7" t="inlineStr">
        <is>
          <t>대체로 맞음</t>
        </is>
      </c>
      <c r="G200" s="7" t="inlineStr"/>
      <c r="H200" s="3" t="inlineStr">
        <is>
          <t>アナタの顔… / 死んだウチの犬に似ていて… / ああ!?　オレ犬かよ～…！</t>
        </is>
      </c>
      <c r="I200" s="4" t="n"/>
      <c r="J200" s="4" t="n"/>
      <c r="K200" s="4" t="n"/>
    </row>
    <row r="201">
      <c r="A201" s="2" t="n">
        <v>199</v>
      </c>
      <c r="B201" s="2" t="inlineStr">
        <is>
          <t>23:20.8</t>
        </is>
      </c>
      <c r="C201" s="2" t="inlineStr">
        <is>
          <t>당신의 얼굴 우리 죽은 개를 닮았다고</t>
        </is>
      </c>
      <c r="D201" s="5" t="inlineStr">
        <is>
          <t>옮김</t>
        </is>
      </c>
      <c r="E201" s="5" t="inlineStr">
        <is>
          <t>死んだウチの犬に似ていて…</t>
        </is>
      </c>
      <c r="F201" s="5" t="inlineStr">
        <is>
          <t>맞음</t>
        </is>
      </c>
      <c r="G201" s="5" t="inlineStr"/>
      <c r="H201" s="3" t="inlineStr">
        <is>
          <t>アナタの顔… / 死んだウチの犬に似ていて… / ああ!?　オレ犬かよ～…！</t>
        </is>
      </c>
      <c r="I201" s="4" t="n"/>
      <c r="J201" s="4" t="n"/>
      <c r="K201" s="4" t="n"/>
    </row>
    <row r="202">
      <c r="A202" s="2" t="n">
        <v>200</v>
      </c>
      <c r="B202" s="2" t="inlineStr">
        <is>
          <t>23:46.2</t>
        </is>
      </c>
      <c r="C202" s="2" t="inlineStr">
        <is>
          <t>ハカチ?</t>
        </is>
      </c>
      <c r="D202" s="7" t="inlineStr">
        <is>
          <t>따라함</t>
        </is>
      </c>
      <c r="E202" s="7" t="inlineStr">
        <is>
          <t>（少女）まって ハンカチ！　ハンカチ！</t>
        </is>
      </c>
      <c r="F202" s="7" t="inlineStr">
        <is>
          <t>대체로 맞음</t>
        </is>
      </c>
      <c r="G202" s="7" t="inlineStr">
        <is>
          <t>ハンカチ → ハカチ</t>
        </is>
      </c>
      <c r="H202" s="3" t="inlineStr">
        <is>
          <t>（少女）えっ え… ええ！ / （少女）まって ハンカチ！　ハンカチ！ / うえ　あー</t>
        </is>
      </c>
      <c r="I202" s="4" t="n"/>
      <c r="J202" s="4" t="n"/>
      <c r="K202" s="4" t="n"/>
    </row>
    <row r="203">
      <c r="A203" s="2" t="n">
        <v>201</v>
      </c>
      <c r="B203" s="2" t="inlineStr">
        <is>
          <t>23:50.0</t>
        </is>
      </c>
      <c r="C203" s="2" t="inlineStr">
        <is>
          <t>따단</t>
        </is>
      </c>
      <c r="D203" s="5" t="inlineStr">
        <is>
          <t>옮김</t>
        </is>
      </c>
      <c r="E203" s="5" t="inlineStr">
        <is>
          <t>タラーン！</t>
        </is>
      </c>
      <c r="F203" s="5" t="inlineStr">
        <is>
          <t>맞음</t>
        </is>
      </c>
      <c r="G203" s="5" t="inlineStr">
        <is>
          <t>タラーン</t>
        </is>
      </c>
      <c r="H203" s="3" t="inlineStr">
        <is>
          <t>うえ　あー / タラーン！ / ええっ!?</t>
        </is>
      </c>
      <c r="I203" s="4" t="n"/>
      <c r="J203" s="4" t="n"/>
      <c r="K203" s="4" t="n"/>
    </row>
    <row r="204">
      <c r="A204" s="2" t="n">
        <v>202</v>
      </c>
      <c r="B204" s="2" t="inlineStr">
        <is>
          <t>24:25.0</t>
        </is>
      </c>
      <c r="C204" s="2" t="inlineStr">
        <is>
          <t>저쪽 카페에서 일하고 있다</t>
        </is>
      </c>
      <c r="D204" s="5" t="inlineStr">
        <is>
          <t>옮김</t>
        </is>
      </c>
      <c r="E204" s="5" t="inlineStr">
        <is>
          <t>私 この先の二道(ふたみち)ってカフェで バイトしてるの</t>
        </is>
      </c>
      <c r="F204" s="5" t="inlineStr">
        <is>
          <t>맞음</t>
        </is>
      </c>
      <c r="G204" s="5" t="inlineStr"/>
      <c r="H204" s="3" t="inlineStr">
        <is>
          <t>ありがとう… / あ～！　雨止(や)んだよ！ / 私 この先の二道(ふたみち)ってカフェで バイトしてるの</t>
        </is>
      </c>
      <c r="I204" s="4" t="n"/>
      <c r="J204" s="4" t="n"/>
      <c r="K204" s="4" t="n"/>
    </row>
    <row r="205">
      <c r="A205" s="2" t="n">
        <v>203</v>
      </c>
      <c r="B205" s="2" t="inlineStr">
        <is>
          <t>24:29.5</t>
        </is>
      </c>
      <c r="C205" s="2" t="inlineStr">
        <is>
          <t>뭐 답례해주겠다 오면</t>
        </is>
      </c>
      <c r="D205" s="5" t="inlineStr">
        <is>
          <t>옮김</t>
        </is>
      </c>
      <c r="E205" s="5" t="inlineStr">
        <is>
          <t>来てくれたら このお礼してあげる</t>
        </is>
      </c>
      <c r="F205" s="5" t="inlineStr">
        <is>
          <t>맞음</t>
        </is>
      </c>
      <c r="G205" s="5" t="inlineStr"/>
      <c r="H205" s="3" t="inlineStr">
        <is>
          <t>あ～！　雨止(や)んだよ！ / 私 この先の二道(ふたみち)ってカフェで バイトしてるの / 来てくれたら このお礼してあげる</t>
        </is>
      </c>
      <c r="I205" s="4" t="n"/>
      <c r="J205" s="4" t="n"/>
      <c r="K205" s="4" t="n"/>
    </row>
    <row r="206">
      <c r="A206" s="2" t="n">
        <v>204</v>
      </c>
      <c r="B206" s="2" t="inlineStr">
        <is>
          <t>24:34.0</t>
        </is>
      </c>
      <c r="C206" s="2" t="inlineStr">
        <is>
          <t>절대로 와야 돼</t>
        </is>
      </c>
      <c r="D206" s="5" t="inlineStr">
        <is>
          <t>옮김</t>
        </is>
      </c>
      <c r="E206" s="5" t="inlineStr">
        <is>
          <t>絶対来てね！</t>
        </is>
      </c>
      <c r="F206" s="5" t="inlineStr">
        <is>
          <t>맞음</t>
        </is>
      </c>
      <c r="G206" s="5" t="inlineStr"/>
      <c r="H206" s="3" t="inlineStr">
        <is>
          <t>私 この先の二道(ふたみち)ってカフェで バイトしてるの / 来てくれたら このお礼してあげる / 絶対来てね！</t>
        </is>
      </c>
      <c r="I206" s="4" t="n"/>
      <c r="J206" s="4" t="n"/>
      <c r="K206" s="4" t="n"/>
    </row>
    <row r="207">
      <c r="A207" s="2" t="n">
        <v>205</v>
      </c>
      <c r="B207" s="2" t="inlineStr">
        <is>
          <t>24:37.2</t>
        </is>
      </c>
      <c r="C207" s="3" t="inlineStr">
        <is>
          <t>가야지</t>
        </is>
      </c>
      <c r="D207" s="3" t="inlineStr">
        <is>
          <t>반응·혼잣말</t>
        </is>
      </c>
      <c r="E207" s="2" t="inlineStr"/>
      <c r="F207" s="2" t="inlineStr"/>
      <c r="G207" s="2" t="inlineStr"/>
      <c r="H207" s="3" t="inlineStr">
        <is>
          <t>私 この先の二道(ふたみち)ってカフェで バイトしてるの / 来てくれたら このお礼してあげる / 絶対来てね！</t>
        </is>
      </c>
      <c r="I207" s="4" t="n"/>
      <c r="J207" s="4" t="n"/>
      <c r="K207" s="4" t="n"/>
    </row>
    <row r="208">
      <c r="A208" s="2" t="n">
        <v>206</v>
      </c>
      <c r="B208" s="2" t="inlineStr">
        <is>
          <t>24:43.0</t>
        </is>
      </c>
      <c r="C208" s="3" t="inlineStr">
        <is>
          <t>갈 수밖에 없지</t>
        </is>
      </c>
      <c r="D208" s="3" t="inlineStr">
        <is>
          <t>반응·혼잣말</t>
        </is>
      </c>
      <c r="E208" s="2" t="inlineStr"/>
      <c r="F208" s="2" t="inlineStr"/>
      <c r="G208" s="2" t="inlineStr"/>
      <c r="H208" s="3" t="inlineStr">
        <is>
          <t>私 この先の二道(ふたみち)ってカフェで バイトしてるの / 来てくれたら このお礼してあげる / 絶対来てね！</t>
        </is>
      </c>
      <c r="I208" s="4" t="n"/>
      <c r="J208" s="4" t="n"/>
      <c r="K208" s="4" t="n"/>
    </row>
    <row r="209">
      <c r="A209" s="2" t="n">
        <v>207</v>
      </c>
      <c r="B209" s="2" t="inlineStr">
        <is>
          <t>24:45.0</t>
        </is>
      </c>
      <c r="C209" s="3" t="inlineStr">
        <is>
          <t>덴진데</t>
        </is>
      </c>
      <c r="D209" s="3" t="inlineStr">
        <is>
          <t>반응·혼잣말</t>
        </is>
      </c>
      <c r="E209" s="2" t="inlineStr"/>
      <c r="F209" s="2" t="inlineStr"/>
      <c r="G209" s="2" t="inlineStr"/>
      <c r="H209" s="3" t="inlineStr">
        <is>
          <t>私 この先の二道(ふたみち)ってカフェで バイトしてるの / 来てくれたら このお礼してあげる / 絶対来てね！</t>
        </is>
      </c>
      <c r="I209" s="4" t="n"/>
      <c r="J209" s="4" t="n"/>
      <c r="K209" s="4" t="n"/>
    </row>
    <row r="210">
      <c r="A210" s="2" t="n">
        <v>208</v>
      </c>
      <c r="B210" s="2" t="inlineStr">
        <is>
          <t>24:52.6</t>
        </is>
      </c>
      <c r="C210" s="3" t="inlineStr">
        <is>
          <t>아 씨 마그네슘 먹어야 되나</t>
        </is>
      </c>
      <c r="D210" s="3" t="inlineStr">
        <is>
          <t>반응·혼잣말</t>
        </is>
      </c>
      <c r="E210" s="2" t="inlineStr"/>
      <c r="F210" s="2" t="inlineStr"/>
      <c r="G210" s="2" t="inlineStr"/>
      <c r="H210" s="3" t="inlineStr">
        <is>
          <t>私 この先の二道(ふたみち)ってカフェで バイトしてるの / 来てくれたら このお礼してあげる / 絶対来てね！</t>
        </is>
      </c>
      <c r="I210" s="4" t="n"/>
      <c r="J210" s="4" t="n"/>
      <c r="K210" s="4" t="n"/>
    </row>
    <row r="211">
      <c r="A211" s="2" t="n">
        <v>209</v>
      </c>
      <c r="B211" s="2" t="inlineStr">
        <is>
          <t>24:55.0</t>
        </is>
      </c>
      <c r="C211" s="3" t="inlineStr">
        <is>
          <t>눈밑이 계속 떨리네 잠깐만</t>
        </is>
      </c>
      <c r="D211" s="3" t="inlineStr">
        <is>
          <t>반응·혼잣말</t>
        </is>
      </c>
      <c r="E211" s="2" t="inlineStr"/>
      <c r="F211" s="2" t="inlineStr"/>
      <c r="G211" s="2" t="inlineStr"/>
      <c r="H211" s="3" t="inlineStr">
        <is>
          <t>来てくれたら このお礼してあげる / 絶対来てね！</t>
        </is>
      </c>
      <c r="I211" s="4" t="n"/>
      <c r="J211" s="4" t="n"/>
      <c r="K211" s="4" t="n"/>
    </row>
    <row r="212">
      <c r="A212" s="2" t="n">
        <v>210</v>
      </c>
      <c r="B212" s="2" t="inlineStr">
        <is>
          <t>24:59.8</t>
        </is>
      </c>
      <c r="C212" s="3" t="inlineStr">
        <is>
          <t>어 씨</t>
        </is>
      </c>
      <c r="D212" s="3" t="inlineStr">
        <is>
          <t>반응·혼잣말</t>
        </is>
      </c>
      <c r="E212" s="2" t="inlineStr"/>
      <c r="F212" s="2" t="inlineStr"/>
      <c r="G212" s="2" t="inlineStr"/>
      <c r="H212" s="3" t="inlineStr">
        <is>
          <t>絶対来てね！</t>
        </is>
      </c>
      <c r="I212" s="4" t="n"/>
      <c r="J212" s="4" t="n"/>
      <c r="K212" s="4" t="n"/>
    </row>
    <row r="213">
      <c r="A213" s="2" t="n">
        <v>211</v>
      </c>
      <c r="B213" s="2" t="inlineStr">
        <is>
          <t>25:02.0</t>
        </is>
      </c>
      <c r="C213" s="3" t="inlineStr">
        <is>
          <t>으쓰</t>
        </is>
      </c>
      <c r="D213" s="3" t="inlineStr">
        <is>
          <t>반응·혼잣말</t>
        </is>
      </c>
      <c r="E213" s="2" t="inlineStr"/>
      <c r="F213" s="2" t="inlineStr"/>
      <c r="G213" s="2" t="inlineStr"/>
      <c r="H213" s="3" t="inlineStr">
        <is>
          <t>絶対来てね！</t>
        </is>
      </c>
      <c r="I213" s="4" t="n"/>
      <c r="J213" s="4" t="n"/>
      <c r="K213" s="4" t="n"/>
    </row>
    <row r="214">
      <c r="A214" s="2" t="n">
        <v>212</v>
      </c>
      <c r="B214" s="2" t="inlineStr">
        <is>
          <t>25:06.0</t>
        </is>
      </c>
      <c r="C214" s="3" t="inlineStr">
        <is>
          <t>어우</t>
        </is>
      </c>
      <c r="D214" s="3" t="inlineStr">
        <is>
          <t>반응·혼잣말</t>
        </is>
      </c>
      <c r="E214" s="2" t="inlineStr"/>
      <c r="F214" s="2" t="inlineStr"/>
      <c r="G214" s="2" t="inlineStr"/>
      <c r="H214" s="3" t="inlineStr"/>
      <c r="I214" s="4" t="n"/>
      <c r="J214" s="4" t="n"/>
      <c r="K214" s="4" t="n"/>
    </row>
    <row r="215">
      <c r="A215" s="2" t="n">
        <v>213</v>
      </c>
      <c r="B215" s="2" t="inlineStr">
        <is>
          <t>25:35.6</t>
        </is>
      </c>
      <c r="C215" s="3" t="inlineStr">
        <is>
          <t>아</t>
        </is>
      </c>
      <c r="D215" s="3" t="inlineStr">
        <is>
          <t>소리·감탄</t>
        </is>
      </c>
      <c r="E215" s="2" t="inlineStr"/>
      <c r="F215" s="2" t="inlineStr"/>
      <c r="G215" s="2" t="inlineStr"/>
      <c r="H215" s="3" t="inlineStr"/>
      <c r="I215" s="4" t="n"/>
      <c r="J215" s="4" t="n"/>
      <c r="K215" s="4" t="n"/>
    </row>
    <row r="216">
      <c r="A216" s="2" t="n">
        <v>214</v>
      </c>
      <c r="B216" s="2" t="inlineStr">
        <is>
          <t>25:38.0</t>
        </is>
      </c>
      <c r="C216" s="3" t="inlineStr">
        <is>
          <t>마그네슘 먹었스</t>
        </is>
      </c>
      <c r="D216" s="3" t="inlineStr">
        <is>
          <t>반응·혼잣말</t>
        </is>
      </c>
      <c r="E216" s="2" t="inlineStr"/>
      <c r="F216" s="2" t="inlineStr"/>
      <c r="G216" s="2" t="inlineStr"/>
      <c r="H216" s="3" t="inlineStr"/>
      <c r="I216" s="4" t="n"/>
      <c r="J216" s="4" t="n"/>
      <c r="K216" s="4" t="n"/>
    </row>
    <row r="217">
      <c r="A217" s="2" t="n">
        <v>215</v>
      </c>
      <c r="B217" s="2" t="inlineStr">
        <is>
          <t>25:46.0</t>
        </is>
      </c>
      <c r="C217" s="3" t="inlineStr">
        <is>
          <t>(숨소리)</t>
        </is>
      </c>
      <c r="D217" s="3" t="inlineStr">
        <is>
          <t>소리·감탄</t>
        </is>
      </c>
      <c r="E217" s="2" t="inlineStr"/>
      <c r="F217" s="2" t="inlineStr"/>
      <c r="G217" s="2" t="inlineStr"/>
      <c r="H217" s="3" t="inlineStr"/>
      <c r="I217" s="4" t="n"/>
      <c r="J217" s="4" t="n"/>
      <c r="K217" s="4" t="n"/>
    </row>
    <row r="218">
      <c r="A218" s="2" t="n">
        <v>216</v>
      </c>
      <c r="B218" s="2" t="inlineStr">
        <is>
          <t>25:56.0</t>
        </is>
      </c>
      <c r="C218" s="3" t="inlineStr">
        <is>
          <t>음...</t>
        </is>
      </c>
      <c r="D218" s="3" t="inlineStr">
        <is>
          <t>소리·감탄</t>
        </is>
      </c>
      <c r="E218" s="2" t="inlineStr"/>
      <c r="F218" s="2" t="inlineStr"/>
      <c r="G218" s="2" t="inlineStr"/>
      <c r="H218" s="3" t="inlineStr"/>
      <c r="I218" s="4" t="n"/>
      <c r="J218" s="4" t="n"/>
      <c r="K218" s="4" t="n"/>
    </row>
    <row r="219">
      <c r="A219" s="2" t="n">
        <v>217</v>
      </c>
      <c r="B219" s="2" t="inlineStr">
        <is>
          <t>26:01.0</t>
        </is>
      </c>
      <c r="C219" s="3" t="inlineStr">
        <is>
          <t>카페.</t>
        </is>
      </c>
      <c r="D219" s="3" t="inlineStr">
        <is>
          <t>반응·혼잣말</t>
        </is>
      </c>
      <c r="E219" s="2" t="inlineStr"/>
      <c r="F219" s="2" t="inlineStr"/>
      <c r="G219" s="2" t="inlineStr"/>
      <c r="H219" s="3" t="inlineStr"/>
      <c r="I219" s="4" t="n"/>
      <c r="J219" s="4" t="n"/>
      <c r="K219" s="4" t="n"/>
    </row>
    <row r="220">
      <c r="A220" s="2" t="n">
        <v>218</v>
      </c>
      <c r="B220" s="2" t="inlineStr">
        <is>
          <t>26:14.8</t>
        </is>
      </c>
      <c r="C220" s="2" t="inlineStr">
        <is>
          <t>4番テーブルお水ね。</t>
        </is>
      </c>
      <c r="D220" s="5" t="inlineStr">
        <is>
          <t>따라함</t>
        </is>
      </c>
      <c r="E220" s="5" t="inlineStr">
        <is>
          <t>４番テーブルにお水ね</t>
        </is>
      </c>
      <c r="F220" s="5" t="inlineStr">
        <is>
          <t>맞음</t>
        </is>
      </c>
      <c r="G220" s="5" t="inlineStr"/>
      <c r="H220" s="3" t="inlineStr">
        <is>
          <t>（マスター）遅刻した分 給料から引いとくからね / （少女）ケチ～ / ４番テーブルにお水ね</t>
        </is>
      </c>
      <c r="I220" s="4" t="n"/>
      <c r="J220" s="4" t="n"/>
      <c r="K220" s="4" t="n"/>
    </row>
    <row r="221">
      <c r="A221" s="2" t="n">
        <v>219</v>
      </c>
      <c r="B221" s="2" t="inlineStr">
        <is>
          <t>26:17.0</t>
        </is>
      </c>
      <c r="C221" s="2" t="inlineStr">
        <is>
          <t>4번 테이블에</t>
        </is>
      </c>
      <c r="D221" s="5" t="inlineStr">
        <is>
          <t>옮김</t>
        </is>
      </c>
      <c r="E221" s="5" t="inlineStr">
        <is>
          <t>４番テーブルにお水ね</t>
        </is>
      </c>
      <c r="F221" s="5" t="inlineStr">
        <is>
          <t>맞음</t>
        </is>
      </c>
      <c r="G221" s="5" t="inlineStr"/>
      <c r="H221" s="3" t="inlineStr">
        <is>
          <t>（マスター）遅刻した分 給料から引いとくからね / （少女）ケチ～ / ４番テーブルにお水ね</t>
        </is>
      </c>
      <c r="I221" s="4" t="n"/>
      <c r="J221" s="4" t="n"/>
      <c r="K221" s="4" t="n"/>
    </row>
    <row r="222">
      <c r="A222" s="2" t="n">
        <v>220</v>
      </c>
      <c r="B222" s="2" t="inlineStr">
        <is>
          <t>26:19.0</t>
        </is>
      </c>
      <c r="C222" s="2" t="inlineStr">
        <is>
          <t>물이네.</t>
        </is>
      </c>
      <c r="D222" s="5" t="inlineStr">
        <is>
          <t>옮김</t>
        </is>
      </c>
      <c r="E222" s="5" t="inlineStr">
        <is>
          <t>４番テーブルにお水ね</t>
        </is>
      </c>
      <c r="F222" s="5" t="inlineStr">
        <is>
          <t>맞음</t>
        </is>
      </c>
      <c r="G222" s="5" t="inlineStr"/>
      <c r="H222" s="3" t="inlineStr">
        <is>
          <t>（マスター）遅刻した分 給料から引いとくからね / （少女）ケチ～ / ４番テーブルにお水ね</t>
        </is>
      </c>
      <c r="I222" s="4" t="n"/>
      <c r="J222" s="4" t="n"/>
      <c r="K222" s="4" t="n"/>
    </row>
    <row r="223">
      <c r="A223" s="2" t="n">
        <v>221</v>
      </c>
      <c r="B223" s="2" t="inlineStr">
        <is>
          <t>26:20.0</t>
        </is>
      </c>
      <c r="C223" s="2" t="inlineStr">
        <is>
          <t>물 갖다 주라고.</t>
        </is>
      </c>
      <c r="D223" s="5" t="inlineStr">
        <is>
          <t>옮김</t>
        </is>
      </c>
      <c r="E223" s="5" t="inlineStr">
        <is>
          <t>４番テーブルにお水ね</t>
        </is>
      </c>
      <c r="F223" s="5" t="inlineStr">
        <is>
          <t>맞음</t>
        </is>
      </c>
      <c r="G223" s="5" t="inlineStr"/>
      <c r="H223" s="3" t="inlineStr">
        <is>
          <t>（少女）ケチ～ / ４番テーブルにお水ね / ケチケチケチケチ ケチケチケチケチケチ</t>
        </is>
      </c>
      <c r="I223" s="4" t="n"/>
      <c r="J223" s="4" t="n"/>
      <c r="K223" s="4" t="n"/>
    </row>
    <row r="224">
      <c r="A224" s="2" t="n">
        <v>222</v>
      </c>
      <c r="B224" s="2" t="inlineStr">
        <is>
          <t>26:30.0</t>
        </is>
      </c>
      <c r="C224" s="2" t="inlineStr">
        <is>
          <t>はや!</t>
        </is>
      </c>
      <c r="D224" s="5" t="inlineStr">
        <is>
          <t>따라함</t>
        </is>
      </c>
      <c r="E224" s="5" t="inlineStr">
        <is>
          <t>早～!?</t>
        </is>
      </c>
      <c r="F224" s="5" t="inlineStr">
        <is>
          <t>맞음</t>
        </is>
      </c>
      <c r="G224" s="5" t="inlineStr"/>
      <c r="H224" s="3" t="inlineStr">
        <is>
          <t>って / 早～!? / ええ～？ 私より早く来たでしょ!?</t>
        </is>
      </c>
      <c r="I224" s="4" t="n"/>
      <c r="J224" s="4" t="n"/>
      <c r="K224" s="4" t="n"/>
    </row>
    <row r="225">
      <c r="A225" s="2" t="n">
        <v>223</v>
      </c>
      <c r="B225" s="2" t="inlineStr">
        <is>
          <t>26:32.0</t>
        </is>
      </c>
      <c r="C225" s="2" t="inlineStr">
        <is>
          <t>빨라.</t>
        </is>
      </c>
      <c r="D225" s="5" t="inlineStr">
        <is>
          <t>옮김</t>
        </is>
      </c>
      <c r="E225" s="5" t="inlineStr">
        <is>
          <t>早～!?</t>
        </is>
      </c>
      <c r="F225" s="5" t="inlineStr">
        <is>
          <t>맞음</t>
        </is>
      </c>
      <c r="G225" s="5" t="inlineStr"/>
      <c r="H225" s="3" t="inlineStr">
        <is>
          <t>早～!? / ええ～？ 私より早く来たでしょ!? / ええ～？ 私より早く来たでしょ!?</t>
        </is>
      </c>
      <c r="I225" s="4" t="n"/>
      <c r="J225" s="4" t="n"/>
      <c r="K225" s="4" t="n"/>
    </row>
    <row r="226">
      <c r="A226" s="2" t="n">
        <v>224</v>
      </c>
      <c r="B226" s="2" t="inlineStr">
        <is>
          <t>26:35.3</t>
        </is>
      </c>
      <c r="C226" s="2" t="inlineStr">
        <is>
          <t>나보다</t>
        </is>
      </c>
      <c r="D226" s="7" t="inlineStr">
        <is>
          <t>옮김</t>
        </is>
      </c>
      <c r="E226" s="7" t="inlineStr">
        <is>
          <t>ええ～？ 私より早く来たでしょ!?</t>
        </is>
      </c>
      <c r="F226" s="7" t="inlineStr">
        <is>
          <t>대체로 맞음</t>
        </is>
      </c>
      <c r="G226" s="7" t="inlineStr"/>
      <c r="H226" s="3" t="inlineStr">
        <is>
          <t>早～!? / ええ～？ 私より早く来たでしょ!? / ええ～？ 私より早く来たでしょ!?</t>
        </is>
      </c>
      <c r="I226" s="4" t="n"/>
      <c r="J226" s="4" t="n"/>
      <c r="K226" s="4" t="n"/>
    </row>
    <row r="227">
      <c r="A227" s="2" t="n">
        <v>225</v>
      </c>
      <c r="B227" s="2" t="inlineStr">
        <is>
          <t>26:37.0</t>
        </is>
      </c>
      <c r="C227" s="2" t="inlineStr">
        <is>
          <t>빨랐다.</t>
        </is>
      </c>
      <c r="D227" s="7" t="inlineStr">
        <is>
          <t>옮김</t>
        </is>
      </c>
      <c r="E227" s="7" t="inlineStr">
        <is>
          <t>ええ～？ 私より早く来たでしょ!?</t>
        </is>
      </c>
      <c r="F227" s="7" t="inlineStr">
        <is>
          <t>대체로 맞음</t>
        </is>
      </c>
      <c r="G227" s="7" t="inlineStr"/>
      <c r="H227" s="3" t="inlineStr">
        <is>
          <t>ええ～？ 私より早く来たでしょ!? / ええ～？ 私より早く来たでしょ!? / （デンジ）まあ そういえばそうかな</t>
        </is>
      </c>
      <c r="I227" s="4" t="n"/>
      <c r="J227" s="4" t="n"/>
      <c r="K227" s="4" t="n"/>
    </row>
    <row r="228">
      <c r="A228" s="2" t="n">
        <v>226</v>
      </c>
      <c r="B228" s="2" t="inlineStr">
        <is>
          <t>26:40.0</t>
        </is>
      </c>
      <c r="C228" s="2" t="inlineStr">
        <is>
          <t>そういえばそうかな。</t>
        </is>
      </c>
      <c r="D228" s="5" t="inlineStr">
        <is>
          <t>따라함</t>
        </is>
      </c>
      <c r="E228" s="5" t="inlineStr">
        <is>
          <t>（デンジ）まあ そういえばそうかな</t>
        </is>
      </c>
      <c r="F228" s="5" t="inlineStr">
        <is>
          <t>맞음</t>
        </is>
      </c>
      <c r="G228" s="5" t="inlineStr"/>
      <c r="H228" s="3" t="inlineStr">
        <is>
          <t>ええ～？ 私より早く来たでしょ!? / ええ～？ 私より早く来たでしょ!? / （デンジ）まあ そういえばそうかな</t>
        </is>
      </c>
      <c r="I228" s="4" t="n"/>
      <c r="J228" s="4" t="n"/>
      <c r="K228" s="4" t="n"/>
    </row>
    <row r="229">
      <c r="A229" s="2" t="n">
        <v>227</v>
      </c>
      <c r="B229" s="2" t="inlineStr">
        <is>
          <t>26:44.6</t>
        </is>
      </c>
      <c r="C229" s="3" t="inlineStr">
        <is>
          <t>음.</t>
        </is>
      </c>
      <c r="D229" s="3" t="inlineStr">
        <is>
          <t>소리·감탄</t>
        </is>
      </c>
      <c r="E229" s="2" t="inlineStr"/>
      <c r="F229" s="2" t="inlineStr"/>
      <c r="G229" s="2" t="inlineStr"/>
      <c r="H229" s="3" t="inlineStr">
        <is>
          <t>（デンジ）まあ そういえばそうかな / お礼貰(もら)いにきただけだぜ / ふ～ん</t>
        </is>
      </c>
      <c r="I229" s="4" t="n"/>
      <c r="J229" s="4" t="n"/>
      <c r="K229" s="4" t="n"/>
    </row>
    <row r="230">
      <c r="A230" s="2" t="n">
        <v>228</v>
      </c>
      <c r="B230" s="2" t="inlineStr">
        <is>
          <t>26:52.0</t>
        </is>
      </c>
      <c r="C230" s="2" t="inlineStr">
        <is>
          <t>一緒に飲みますか？</t>
        </is>
      </c>
      <c r="D230" s="5" t="inlineStr">
        <is>
          <t>따라함</t>
        </is>
      </c>
      <c r="E230" s="5" t="inlineStr">
        <is>
          <t>一緒に飲みますか～</t>
        </is>
      </c>
      <c r="F230" s="5" t="inlineStr">
        <is>
          <t>맞음</t>
        </is>
      </c>
      <c r="G230" s="5" t="inlineStr"/>
      <c r="H230" s="3" t="inlineStr">
        <is>
          <t>ふ～ん / （デンジ）おっ… / 一緒に飲みますか～</t>
        </is>
      </c>
      <c r="I230" s="4" t="n"/>
      <c r="J230" s="4" t="n"/>
      <c r="K230" s="4" t="n"/>
    </row>
    <row r="231">
      <c r="A231" s="2" t="n">
        <v>229</v>
      </c>
      <c r="B231" s="2" t="inlineStr">
        <is>
          <t>26:54.0</t>
        </is>
      </c>
      <c r="C231" s="2" t="inlineStr">
        <is>
          <t>같이 마실까?</t>
        </is>
      </c>
      <c r="D231" s="5" t="inlineStr">
        <is>
          <t>옮김</t>
        </is>
      </c>
      <c r="E231" s="5" t="inlineStr">
        <is>
          <t>一緒に飲みますか～</t>
        </is>
      </c>
      <c r="F231" s="5" t="inlineStr">
        <is>
          <t>맞음</t>
        </is>
      </c>
      <c r="G231" s="5" t="inlineStr"/>
      <c r="H231" s="3" t="inlineStr">
        <is>
          <t>ふ～ん / （デンジ）おっ… / 一緒に飲みますか～</t>
        </is>
      </c>
      <c r="I231" s="4" t="n"/>
      <c r="J231" s="4" t="n"/>
      <c r="K231" s="4" t="n"/>
    </row>
    <row r="232">
      <c r="A232" s="2" t="n">
        <v>230</v>
      </c>
      <c r="B232" s="2" t="inlineStr">
        <is>
          <t>27:00.0</t>
        </is>
      </c>
      <c r="C232" s="2" t="inlineStr">
        <is>
          <t>私も彼にコーヒーを。</t>
        </is>
      </c>
      <c r="D232" s="7" t="inlineStr">
        <is>
          <t>따라함</t>
        </is>
      </c>
      <c r="E232" s="7" t="inlineStr">
        <is>
          <t>私と彼にコーヒーを！</t>
        </is>
      </c>
      <c r="F232" s="7" t="inlineStr">
        <is>
          <t>대체로 맞음</t>
        </is>
      </c>
      <c r="G232" s="7" t="inlineStr">
        <is>
          <t>私と → 私も</t>
        </is>
      </c>
      <c r="H232" s="3" t="inlineStr">
        <is>
          <t>一緒に飲みますか～ / へいへいマスター！ / 私と彼にコーヒーを！</t>
        </is>
      </c>
      <c r="I232" s="4" t="n"/>
      <c r="J232" s="4" t="n"/>
      <c r="K232" s="4" t="n"/>
    </row>
    <row r="233">
      <c r="A233" s="2" t="n">
        <v>231</v>
      </c>
      <c r="B233" s="2" t="inlineStr">
        <is>
          <t>27:03.0</t>
        </is>
      </c>
      <c r="C233" s="2" t="inlineStr">
        <is>
          <t>둘 다 커피?</t>
        </is>
      </c>
      <c r="D233" s="5" t="inlineStr">
        <is>
          <t>옮김</t>
        </is>
      </c>
      <c r="E233" s="5" t="inlineStr">
        <is>
          <t>私と彼にコーヒーを！</t>
        </is>
      </c>
      <c r="F233" s="5" t="inlineStr">
        <is>
          <t>맞음</t>
        </is>
      </c>
      <c r="G233" s="5" t="inlineStr"/>
      <c r="H233" s="3" t="inlineStr">
        <is>
          <t>一緒に飲みますか～ / へいへいマスター！ / 私と彼にコーヒーを！</t>
        </is>
      </c>
      <c r="I233" s="4" t="n"/>
      <c r="J233" s="4" t="n"/>
      <c r="K233" s="4" t="n"/>
    </row>
    <row r="234">
      <c r="A234" s="2" t="n">
        <v>232</v>
      </c>
      <c r="B234" s="2" t="inlineStr">
        <is>
          <t>27:13.0</t>
        </is>
      </c>
      <c r="C234" s="2" t="inlineStr">
        <is>
          <t>아침에는</t>
        </is>
      </c>
      <c r="D234" s="9" t="inlineStr">
        <is>
          <t>옮김</t>
        </is>
      </c>
      <c r="E234" s="9" t="inlineStr">
        <is>
          <t>モーニングにしか 客なんて来ないんだし</t>
        </is>
      </c>
      <c r="F234" s="9" t="inlineStr">
        <is>
          <t>틀림</t>
        </is>
      </c>
      <c r="G234" s="9" t="inlineStr">
        <is>
          <t>モーニングにしか 客なんて来ない(아침에만 손님이 온다)를 반대로</t>
        </is>
      </c>
      <c r="H234" s="3" t="inlineStr">
        <is>
          <t>店員でしょ アンタ / いいじゃないですか～ / モーニングにしか 客なんて来ないんだし</t>
        </is>
      </c>
      <c r="I234" s="4" t="n"/>
      <c r="J234" s="4" t="n"/>
      <c r="K234" s="4" t="n"/>
    </row>
    <row r="235">
      <c r="A235" s="2" t="n">
        <v>233</v>
      </c>
      <c r="B235" s="2" t="inlineStr">
        <is>
          <t>27:16.0</t>
        </is>
      </c>
      <c r="C235" s="2" t="inlineStr">
        <is>
          <t>손님들이 안 오니까</t>
        </is>
      </c>
      <c r="D235" s="9" t="inlineStr">
        <is>
          <t>옮김</t>
        </is>
      </c>
      <c r="E235" s="9" t="inlineStr">
        <is>
          <t>モーニングにしか 客なんて来ないんだし</t>
        </is>
      </c>
      <c r="F235" s="9" t="inlineStr">
        <is>
          <t>틀림</t>
        </is>
      </c>
      <c r="G235" s="9" t="inlineStr"/>
      <c r="H235" s="3" t="inlineStr">
        <is>
          <t>店員でしょ アンタ / いいじゃないですか～ / モーニングにしか 客なんて来ないんだし</t>
        </is>
      </c>
      <c r="I235" s="4" t="n"/>
      <c r="J235" s="4" t="n"/>
      <c r="K235" s="4" t="n"/>
    </row>
    <row r="236">
      <c r="A236" s="2" t="n">
        <v>234</v>
      </c>
      <c r="B236" s="2" t="inlineStr">
        <is>
          <t>27:27.5</t>
        </is>
      </c>
      <c r="C236" s="2" t="inlineStr">
        <is>
          <t>コーヒー好き？飲む？</t>
        </is>
      </c>
      <c r="D236" s="5" t="inlineStr">
        <is>
          <t>따라함</t>
        </is>
      </c>
      <c r="E236" s="5" t="inlineStr">
        <is>
          <t>コーヒー 好き？ / 飲む</t>
        </is>
      </c>
      <c r="F236" s="5" t="inlineStr">
        <is>
          <t>맞음</t>
        </is>
      </c>
      <c r="G236" s="5" t="inlineStr"/>
      <c r="H236" s="3" t="inlineStr">
        <is>
          <t>（少女）お礼はコーヒーでした！ / コーヒー 好き？ / （デンジ）飲む</t>
        </is>
      </c>
      <c r="I236" s="4" t="n"/>
      <c r="J236" s="4" t="n"/>
      <c r="K236" s="4" t="n"/>
    </row>
    <row r="237">
      <c r="A237" s="2" t="n">
        <v>235</v>
      </c>
      <c r="B237" s="2" t="inlineStr">
        <is>
          <t>27:42.0</t>
        </is>
      </c>
      <c r="C237" s="2" t="inlineStr">
        <is>
          <t>どぶ?</t>
        </is>
      </c>
      <c r="D237" s="5" t="inlineStr">
        <is>
          <t>따라함</t>
        </is>
      </c>
      <c r="E237" s="5" t="inlineStr">
        <is>
          <t>ドブ味だよ ドブ！</t>
        </is>
      </c>
      <c r="F237" s="5" t="inlineStr">
        <is>
          <t>맞음</t>
        </is>
      </c>
      <c r="G237" s="5" t="inlineStr">
        <is>
          <t>ドブ</t>
        </is>
      </c>
      <c r="H237" s="3" t="inlineStr">
        <is>
          <t>絶対 強がってる！ / だぁってコーヒーって マズくねえか!? / ドブ味だよ ドブ！</t>
        </is>
      </c>
      <c r="I237" s="4" t="n"/>
      <c r="J237" s="4" t="n"/>
      <c r="K237" s="4" t="n"/>
    </row>
    <row r="238">
      <c r="A238" s="2" t="n">
        <v>236</v>
      </c>
      <c r="B238" s="2" t="inlineStr">
        <is>
          <t>27:58.7</t>
        </is>
      </c>
      <c r="C238" s="2" t="inlineStr">
        <is>
          <t>나한테 웃어 주고,</t>
        </is>
      </c>
      <c r="D238" s="5" t="inlineStr">
        <is>
          <t>옮김</t>
        </is>
      </c>
      <c r="E238" s="5" t="inlineStr">
        <is>
          <t>（デンジ）やたら触ってくるし 俺に笑ってくれるし</t>
        </is>
      </c>
      <c r="F238" s="5" t="inlineStr">
        <is>
          <t>맞음</t>
        </is>
      </c>
      <c r="G238" s="5" t="inlineStr"/>
      <c r="H238" s="3" t="inlineStr">
        <is>
          <t>（デンジ）やたら触ってくるし 俺に笑ってくれるし / もしかして この娘(こ) / 俺のコト好きなんじゃねえ…？</t>
        </is>
      </c>
      <c r="I238" s="4" t="n"/>
      <c r="J238" s="4" t="n"/>
      <c r="K238" s="4" t="n"/>
    </row>
    <row r="239">
      <c r="A239" s="2" t="n">
        <v>237</v>
      </c>
      <c r="B239" s="2" t="inlineStr">
        <is>
          <t>28:01.7</t>
        </is>
      </c>
      <c r="C239" s="2" t="inlineStr">
        <is>
          <t>만져 주고, 하니까 그렇지 그럴 만하지.</t>
        </is>
      </c>
      <c r="D239" s="7" t="inlineStr">
        <is>
          <t>옮김</t>
        </is>
      </c>
      <c r="E239" s="7" t="inlineStr">
        <is>
          <t>（デンジ）やたら触ってくるし 俺に笑ってくれるし</t>
        </is>
      </c>
      <c r="F239" s="7" t="inlineStr">
        <is>
          <t>대체로 맞음</t>
        </is>
      </c>
      <c r="G239" s="7" t="inlineStr">
        <is>
          <t>やたら触ってくる</t>
        </is>
      </c>
      <c r="H239" s="3" t="inlineStr">
        <is>
          <t>（デンジ）やたら触ってくるし 俺に笑ってくれるし / もしかして この娘(こ) / 俺のコト好きなんじゃねえ…？</t>
        </is>
      </c>
      <c r="I239" s="4" t="n"/>
      <c r="J239" s="4" t="n"/>
      <c r="K239" s="4" t="n"/>
    </row>
    <row r="240">
      <c r="A240" s="2" t="n">
        <v>238</v>
      </c>
      <c r="B240" s="2" t="inlineStr">
        <is>
          <t>28:25.2</t>
        </is>
      </c>
      <c r="C240" s="2" t="inlineStr">
        <is>
          <t>덴지군처럼 재밌는 사람 처음이야.</t>
        </is>
      </c>
      <c r="D240" s="5" t="inlineStr">
        <is>
          <t>옮김</t>
        </is>
      </c>
      <c r="E240" s="5" t="inlineStr">
        <is>
          <t>デンジ君みたいな面白い人 はじめて</t>
        </is>
      </c>
      <c r="F240" s="5" t="inlineStr">
        <is>
          <t>맞음</t>
        </is>
      </c>
      <c r="G240" s="5" t="inlineStr"/>
      <c r="H240" s="3" t="inlineStr">
        <is>
          <t>デンジ君 / （デンジ）お… / デンジ君みたいな面白い人 はじめて</t>
        </is>
      </c>
      <c r="I240" s="4" t="n"/>
      <c r="J240" s="4" t="n"/>
      <c r="K240" s="4" t="n"/>
    </row>
    <row r="241">
      <c r="A241" s="2" t="n">
        <v>239</v>
      </c>
      <c r="B241" s="2" t="inlineStr">
        <is>
          <t>28:29.0</t>
        </is>
      </c>
      <c r="C241" s="3" t="inlineStr">
        <is>
          <t>가겠네 씨발.</t>
        </is>
      </c>
      <c r="D241" s="3" t="inlineStr">
        <is>
          <t>반응·혼잣말</t>
        </is>
      </c>
      <c r="E241" s="2" t="inlineStr"/>
      <c r="F241" s="2" t="inlineStr"/>
      <c r="G241" s="2" t="inlineStr"/>
      <c r="H241" s="3" t="inlineStr">
        <is>
          <t>デンジ君みたいな面白い人 はじめて / ふ… / う～ん</t>
        </is>
      </c>
      <c r="I241" s="4" t="n"/>
      <c r="J241" s="4" t="n"/>
      <c r="K241" s="4" t="n"/>
    </row>
    <row r="242">
      <c r="A242" s="2" t="n">
        <v>240</v>
      </c>
      <c r="B242" s="2" t="inlineStr">
        <is>
          <t>28:35.2</t>
        </is>
      </c>
      <c r="C242" s="2" t="inlineStr">
        <is>
          <t>확정적으로 나를 좋아하는 거잖아.</t>
        </is>
      </c>
      <c r="D242" s="5" t="inlineStr">
        <is>
          <t>옮김</t>
        </is>
      </c>
      <c r="E242" s="5" t="inlineStr">
        <is>
          <t>（デンジ）確定で 俺のコト好きじゃん</t>
        </is>
      </c>
      <c r="F242" s="5" t="inlineStr">
        <is>
          <t>맞음</t>
        </is>
      </c>
      <c r="G242" s="5" t="inlineStr"/>
      <c r="H242" s="3" t="inlineStr">
        <is>
          <t>ふ… / う～ん / （デンジ）確定で 俺のコト好きじゃん</t>
        </is>
      </c>
      <c r="I242" s="4" t="n"/>
      <c r="J242" s="4" t="n"/>
      <c r="K242" s="4" t="n"/>
    </row>
    <row r="243">
      <c r="A243" s="2" t="n">
        <v>241</v>
      </c>
      <c r="B243" s="2" t="inlineStr">
        <is>
          <t>28:42.0</t>
        </is>
      </c>
      <c r="C243" s="2" t="inlineStr">
        <is>
          <t>どうしよう. 마키마가 있지.</t>
        </is>
      </c>
      <c r="D243" s="5" t="inlineStr">
        <is>
          <t>따라함</t>
        </is>
      </c>
      <c r="E243" s="5" t="inlineStr">
        <is>
          <t>どうしよう</t>
        </is>
      </c>
      <c r="F243" s="5" t="inlineStr">
        <is>
          <t>맞음</t>
        </is>
      </c>
      <c r="G243" s="5" t="inlineStr"/>
      <c r="H243" s="3" t="inlineStr">
        <is>
          <t>（デンジ）確定で 俺のコト好きじゃん / どうしよう / 俺は俺の事を好きな人が好きだ</t>
        </is>
      </c>
      <c r="I243" s="4" t="n"/>
      <c r="J243" s="4" t="n"/>
      <c r="K243" s="4" t="n"/>
    </row>
    <row r="244">
      <c r="A244" s="2" t="n">
        <v>242</v>
      </c>
      <c r="B244" s="2" t="inlineStr">
        <is>
          <t>28:47.0</t>
        </is>
      </c>
      <c r="C244" s="2" t="inlineStr">
        <is>
          <t>나는 나를 좋아하는 사람이 좋다.</t>
        </is>
      </c>
      <c r="D244" s="5" t="inlineStr">
        <is>
          <t>옮김</t>
        </is>
      </c>
      <c r="E244" s="5" t="inlineStr">
        <is>
          <t>俺は俺の事を好きな人が好きだ</t>
        </is>
      </c>
      <c r="F244" s="5" t="inlineStr">
        <is>
          <t>맞음</t>
        </is>
      </c>
      <c r="G244" s="5" t="inlineStr"/>
      <c r="H244" s="3" t="inlineStr">
        <is>
          <t>（デンジ）確定で 俺のコト好きじゃん / どうしよう / 俺は俺の事を好きな人が好きだ</t>
        </is>
      </c>
      <c r="I244" s="4" t="n"/>
      <c r="J244" s="4" t="n"/>
      <c r="K244" s="4" t="n"/>
    </row>
    <row r="245">
      <c r="A245" s="2" t="n">
        <v>243</v>
      </c>
      <c r="B245" s="2" t="inlineStr">
        <is>
          <t>29:20.9</t>
        </is>
      </c>
      <c r="C245" s="3" t="inlineStr">
        <is>
          <t>스타트.</t>
        </is>
      </c>
      <c r="D245" s="3" t="inlineStr">
        <is>
          <t>반응·혼잣말</t>
        </is>
      </c>
      <c r="E245" s="2" t="inlineStr"/>
      <c r="F245" s="2" t="inlineStr"/>
      <c r="G245" s="2" t="inlineStr"/>
      <c r="H245" s="3" t="inlineStr">
        <is>
          <t>マキマさん 助けて / 俺 この娘好きになっちまう</t>
        </is>
      </c>
      <c r="I245" s="4" t="n"/>
      <c r="J245" s="4" t="n"/>
      <c r="K245" s="4" t="n"/>
    </row>
    <row r="246">
      <c r="A246" s="2" t="n">
        <v>244</v>
      </c>
      <c r="B246" s="2" t="inlineStr">
        <is>
          <t>29:26.3</t>
        </is>
      </c>
      <c r="C246" s="2" t="inlineStr">
        <is>
          <t>악마는 처리했습니다.</t>
        </is>
      </c>
      <c r="D246" s="5" t="inlineStr">
        <is>
          <t>옮김</t>
        </is>
      </c>
      <c r="E246" s="5" t="inlineStr">
        <is>
          <t>（早川）悪魔は処理しました！ みなさんは—</t>
        </is>
      </c>
      <c r="F246" s="5" t="inlineStr">
        <is>
          <t>맞음</t>
        </is>
      </c>
      <c r="G246" s="5" t="inlineStr"/>
      <c r="H246" s="3" t="inlineStr">
        <is>
          <t>俺 この娘好きになっちまう / （早川）悪魔は処理しました！ みなさんは—</t>
        </is>
      </c>
      <c r="I246" s="4" t="n"/>
      <c r="J246" s="4" t="n"/>
      <c r="K246" s="4" t="n"/>
    </row>
    <row r="247">
      <c r="A247" s="2" t="n">
        <v>245</v>
      </c>
      <c r="B247" s="2" t="inlineStr">
        <is>
          <t>29:32.0</t>
        </is>
      </c>
      <c r="C247" s="2" t="inlineStr">
        <is>
          <t>나오지 마.</t>
        </is>
      </c>
      <c r="D247" s="9" t="inlineStr">
        <is>
          <t>옮김</t>
        </is>
      </c>
      <c r="E247" s="9" t="inlineStr">
        <is>
          <t>血や肉に触らないよう お願いします！</t>
        </is>
      </c>
      <c r="F247" s="9" t="inlineStr">
        <is>
          <t>틀림</t>
        </is>
      </c>
      <c r="G247" s="9" t="inlineStr">
        <is>
          <t>피와 살을 만지지 말라를 나오지 마로</t>
        </is>
      </c>
      <c r="H247" s="3" t="inlineStr">
        <is>
          <t>（早川）悪魔は処理しました！ みなさんは— / 血や肉に触らないよう お願いします！</t>
        </is>
      </c>
      <c r="I247" s="4" t="n"/>
      <c r="J247" s="4" t="n"/>
      <c r="K247" s="4" t="n"/>
    </row>
    <row r="248">
      <c r="A248" s="2" t="n">
        <v>246</v>
      </c>
      <c r="B248" s="2" t="inlineStr">
        <is>
          <t>29:41.8</t>
        </is>
      </c>
      <c r="C248" s="2" t="inlineStr">
        <is>
          <t>美味しそ.</t>
        </is>
      </c>
      <c r="D248" s="5" t="inlineStr">
        <is>
          <t>따라함</t>
        </is>
      </c>
      <c r="E248" s="5" t="inlineStr">
        <is>
          <t>わあ… おいしそう…</t>
        </is>
      </c>
      <c r="F248" s="5" t="inlineStr">
        <is>
          <t>맞음</t>
        </is>
      </c>
      <c r="G248" s="5" t="inlineStr"/>
      <c r="H248" s="3" t="inlineStr">
        <is>
          <t>血や肉に触らないよう お願いします！ / ふぅ… / わあ… おいしそう…</t>
        </is>
      </c>
      <c r="I248" s="4" t="n"/>
      <c r="J248" s="4" t="n"/>
      <c r="K248" s="4" t="n"/>
    </row>
    <row r="249">
      <c r="A249" s="2" t="n">
        <v>247</v>
      </c>
      <c r="B249" s="2" t="inlineStr">
        <is>
          <t>29:43.0</t>
        </is>
      </c>
      <c r="C249" s="2" t="inlineStr">
        <is>
          <t>맛있어 보인다는 건가?</t>
        </is>
      </c>
      <c r="D249" s="5" t="inlineStr">
        <is>
          <t>추측</t>
        </is>
      </c>
      <c r="E249" s="5" t="inlineStr">
        <is>
          <t>わあ… おいしそう…</t>
        </is>
      </c>
      <c r="F249" s="5" t="inlineStr">
        <is>
          <t>맞음</t>
        </is>
      </c>
      <c r="G249" s="5" t="inlineStr"/>
      <c r="H249" s="3" t="inlineStr">
        <is>
          <t>血や肉に触らないよう お願いします！ / ふぅ… / わあ… おいしそう…</t>
        </is>
      </c>
      <c r="I249" s="4" t="n"/>
      <c r="J249" s="4" t="n"/>
      <c r="K249" s="4" t="n"/>
    </row>
    <row r="250">
      <c r="A250" s="2" t="n">
        <v>248</v>
      </c>
      <c r="B250" s="2" t="inlineStr">
        <is>
          <t>29:47.0</t>
        </is>
      </c>
      <c r="C250" s="2" t="inlineStr">
        <is>
          <t>ヘイ ニンゲン君.</t>
        </is>
      </c>
      <c r="D250" s="5" t="inlineStr">
        <is>
          <t>따라함</t>
        </is>
      </c>
      <c r="E250" s="5" t="inlineStr">
        <is>
          <t>へい 人間君 ちょっと こっち来て</t>
        </is>
      </c>
      <c r="F250" s="5" t="inlineStr">
        <is>
          <t>맞음</t>
        </is>
      </c>
      <c r="G250" s="5" t="inlineStr">
        <is>
          <t>앞부분</t>
        </is>
      </c>
      <c r="H250" s="3" t="inlineStr">
        <is>
          <t>わあ… おいしそう… / へい 人間君 ちょっと こっち来て / へい 人間君 ちょっと こっち来て</t>
        </is>
      </c>
      <c r="I250" s="4" t="n"/>
      <c r="J250" s="4" t="n"/>
      <c r="K250" s="4" t="n"/>
    </row>
    <row r="251">
      <c r="A251" s="2" t="n">
        <v>249</v>
      </c>
      <c r="B251" s="2" t="inlineStr">
        <is>
          <t>29:50.7</t>
        </is>
      </c>
      <c r="C251" s="2" t="inlineStr">
        <is>
          <t>ちょっと こっち来て.</t>
        </is>
      </c>
      <c r="D251" s="5" t="inlineStr">
        <is>
          <t>따라함</t>
        </is>
      </c>
      <c r="E251" s="5" t="inlineStr">
        <is>
          <t>へい 人間君 ちょっと こっち来て</t>
        </is>
      </c>
      <c r="F251" s="5" t="inlineStr">
        <is>
          <t>맞음</t>
        </is>
      </c>
      <c r="G251" s="5" t="inlineStr">
        <is>
          <t>뒷부분</t>
        </is>
      </c>
      <c r="H251" s="3" t="inlineStr">
        <is>
          <t>わあ… おいしそう… / へい 人間君 ちょっと こっち来て / へい 人間君 ちょっと こっち来て</t>
        </is>
      </c>
      <c r="I251" s="4" t="n"/>
      <c r="J251" s="4" t="n"/>
      <c r="K251" s="4" t="n"/>
    </row>
    <row r="252">
      <c r="A252" s="2" t="n">
        <v>250</v>
      </c>
      <c r="B252" s="2" t="inlineStr">
        <is>
          <t>29:52.0</t>
        </is>
      </c>
      <c r="C252" s="2" t="inlineStr">
        <is>
          <t>잠깐 여기 좀 와 봐.</t>
        </is>
      </c>
      <c r="D252" s="5" t="inlineStr">
        <is>
          <t>옮김</t>
        </is>
      </c>
      <c r="E252" s="5" t="inlineStr">
        <is>
          <t>へい 人間君 ちょっと こっち来て</t>
        </is>
      </c>
      <c r="F252" s="5" t="inlineStr">
        <is>
          <t>맞음</t>
        </is>
      </c>
      <c r="G252" s="5" t="inlineStr"/>
      <c r="H252" s="3" t="inlineStr">
        <is>
          <t>わあ… おいしそう… / へい 人間君 ちょっと こっち来て / へい 人間君 ちょっと こっち来て</t>
        </is>
      </c>
      <c r="I252" s="4" t="n"/>
      <c r="J252" s="4" t="n"/>
      <c r="K252" s="4" t="n"/>
    </row>
    <row r="253">
      <c r="A253" s="2" t="n">
        <v>251</v>
      </c>
      <c r="B253" s="2" t="inlineStr">
        <is>
          <t>29:57.5</t>
        </is>
      </c>
      <c r="C253" s="2" t="inlineStr">
        <is>
          <t>こいつは</t>
        </is>
      </c>
      <c r="D253" s="5" t="inlineStr">
        <is>
          <t>따라함</t>
        </is>
      </c>
      <c r="E253" s="5" t="inlineStr">
        <is>
          <t>こいつは民間の デビルハンターみたいだね</t>
        </is>
      </c>
      <c r="F253" s="5" t="inlineStr">
        <is>
          <t>맞음</t>
        </is>
      </c>
      <c r="G253" s="5" t="inlineStr">
        <is>
          <t>앞부분</t>
        </is>
      </c>
      <c r="H253" s="3" t="inlineStr">
        <is>
          <t>へい 人間君 ちょっと こっち来て / へい 人間君 ちょっと こっち来て / こいつは民間の デビルハンターみたいだね</t>
        </is>
      </c>
      <c r="I253" s="4" t="n"/>
      <c r="J253" s="4" t="n"/>
      <c r="K253" s="4" t="n"/>
    </row>
    <row r="254">
      <c r="A254" s="2" t="n">
        <v>252</v>
      </c>
      <c r="B254" s="2" t="inlineStr">
        <is>
          <t>29:58.3</t>
        </is>
      </c>
      <c r="C254" s="2" t="inlineStr">
        <is>
          <t>민간 데빌헌터 인 거 같아.</t>
        </is>
      </c>
      <c r="D254" s="5" t="inlineStr">
        <is>
          <t>옮김</t>
        </is>
      </c>
      <c r="E254" s="5" t="inlineStr">
        <is>
          <t>こいつは民間の デビルハンターみたいだね</t>
        </is>
      </c>
      <c r="F254" s="5" t="inlineStr">
        <is>
          <t>맞음</t>
        </is>
      </c>
      <c r="G254" s="5" t="inlineStr"/>
      <c r="H254" s="3" t="inlineStr">
        <is>
          <t>へい 人間君 ちょっと こっち来て / へい 人間君 ちょっと こっち来て / こいつは民間の デビルハンターみたいだね</t>
        </is>
      </c>
      <c r="I254" s="4" t="n"/>
      <c r="J254" s="4" t="n"/>
      <c r="K254" s="4" t="n"/>
    </row>
    <row r="255">
      <c r="A255" s="2" t="n">
        <v>253</v>
      </c>
      <c r="B255" s="2" t="inlineStr">
        <is>
          <t>30:06.0</t>
        </is>
      </c>
      <c r="C255" s="2" t="inlineStr">
        <is>
          <t>어. 이 악마한테 먹혔던 거 같고.</t>
        </is>
      </c>
      <c r="D255" s="5" t="inlineStr">
        <is>
          <t>옮김</t>
        </is>
      </c>
      <c r="E255" s="5" t="inlineStr">
        <is>
          <t>この悪魔に 食べられてたみたいだけど</t>
        </is>
      </c>
      <c r="F255" s="5" t="inlineStr">
        <is>
          <t>맞음</t>
        </is>
      </c>
      <c r="G255" s="5" t="inlineStr"/>
      <c r="H255" s="3" t="inlineStr">
        <is>
          <t>へい 人間君 ちょっと こっち来て / こいつは民間の デビルハンターみたいだね / この悪魔に 食べられてたみたいだけど</t>
        </is>
      </c>
      <c r="I255" s="4" t="n"/>
      <c r="J255" s="4" t="n"/>
      <c r="K255" s="4" t="n"/>
    </row>
    <row r="256">
      <c r="A256" s="2" t="n">
        <v>254</v>
      </c>
      <c r="B256" s="2" t="inlineStr">
        <is>
          <t>30:10.8</t>
        </is>
      </c>
      <c r="C256" s="2" t="inlineStr">
        <is>
          <t>하반 하반신이 없고.</t>
        </is>
      </c>
      <c r="D256" s="5" t="inlineStr">
        <is>
          <t>옮김</t>
        </is>
      </c>
      <c r="E256" s="5" t="inlineStr">
        <is>
          <t>下半身ないし もう死ぬね</t>
        </is>
      </c>
      <c r="F256" s="5" t="inlineStr">
        <is>
          <t>맞음</t>
        </is>
      </c>
      <c r="G256" s="5" t="inlineStr"/>
      <c r="H256" s="3" t="inlineStr">
        <is>
          <t>こいつは民間の デビルハンターみたいだね / この悪魔に 食べられてたみたいだけど / 下半身ないし もう死ぬね</t>
        </is>
      </c>
      <c r="I256" s="4" t="n"/>
      <c r="J256" s="4" t="n"/>
      <c r="K256" s="4" t="n"/>
    </row>
    <row r="257">
      <c r="A257" s="2" t="n">
        <v>255</v>
      </c>
      <c r="B257" s="2" t="inlineStr">
        <is>
          <t>30:13.4</t>
        </is>
      </c>
      <c r="C257" s="3" t="inlineStr">
        <is>
          <t>어? 잠깐만 다시.</t>
        </is>
      </c>
      <c r="D257" s="3" t="inlineStr">
        <is>
          <t>반응·혼잣말</t>
        </is>
      </c>
      <c r="E257" s="2" t="inlineStr"/>
      <c r="F257" s="2" t="inlineStr"/>
      <c r="G257" s="2" t="inlineStr"/>
      <c r="H257" s="3" t="inlineStr">
        <is>
          <t>この悪魔に 食べられてたみたいだけど / 下半身ないし もう死ぬね / この悪魔に 食べられてたみたいだけど</t>
        </is>
      </c>
      <c r="I257" s="4" t="n"/>
      <c r="J257" s="4" t="n"/>
      <c r="K257" s="4" t="n"/>
    </row>
    <row r="258">
      <c r="A258" s="2" t="n">
        <v>256</v>
      </c>
      <c r="B258" s="2" t="inlineStr">
        <is>
          <t>30:20.8</t>
        </is>
      </c>
      <c r="C258" s="2" t="inlineStr">
        <is>
          <t>아 곧 죽는다고</t>
        </is>
      </c>
      <c r="D258" s="5" t="inlineStr">
        <is>
          <t>옮김</t>
        </is>
      </c>
      <c r="E258" s="5" t="inlineStr">
        <is>
          <t>下半身ないし もう死ぬね</t>
        </is>
      </c>
      <c r="F258" s="5" t="inlineStr">
        <is>
          <t>맞음</t>
        </is>
      </c>
      <c r="G258" s="5" t="inlineStr">
        <is>
          <t>다시 돌려 보고 뒷부분</t>
        </is>
      </c>
      <c r="H258" s="3" t="inlineStr">
        <is>
          <t>この悪魔に 食べられてたみたいだけど / 下半身ないし もう死ぬね / （民間のデビルハンター） ううっ　おっ</t>
        </is>
      </c>
      <c r="I258" s="4" t="n"/>
      <c r="J258" s="4" t="n"/>
      <c r="K258" s="4" t="n"/>
    </row>
    <row r="259">
      <c r="A259" s="2" t="n">
        <v>257</v>
      </c>
      <c r="B259" s="2" t="inlineStr">
        <is>
          <t>30:24.8</t>
        </is>
      </c>
      <c r="C259" s="2" t="inlineStr">
        <is>
          <t>殺して、殺して</t>
        </is>
      </c>
      <c r="D259" s="5" t="inlineStr">
        <is>
          <t>따라함</t>
        </is>
      </c>
      <c r="E259" s="5" t="inlineStr">
        <is>
          <t>こおして… ころして…</t>
        </is>
      </c>
      <c r="F259" s="5" t="inlineStr">
        <is>
          <t>맞음</t>
        </is>
      </c>
      <c r="G259" s="5" t="inlineStr"/>
      <c r="H259" s="3" t="inlineStr">
        <is>
          <t>（民間のデビルハンター） ううっ　おっ / こっ　こっ / こおして… ころして…</t>
        </is>
      </c>
      <c r="I259" s="4" t="n"/>
      <c r="J259" s="4" t="n"/>
      <c r="K259" s="4" t="n"/>
    </row>
    <row r="260">
      <c r="A260" s="2" t="n">
        <v>258</v>
      </c>
      <c r="B260" s="2" t="inlineStr">
        <is>
          <t>30:28.7</t>
        </is>
      </c>
      <c r="C260" s="2" t="inlineStr">
        <is>
          <t>죽여줘</t>
        </is>
      </c>
      <c r="D260" s="5" t="inlineStr">
        <is>
          <t>옮김</t>
        </is>
      </c>
      <c r="E260" s="5" t="inlineStr">
        <is>
          <t>こおして… ころして…</t>
        </is>
      </c>
      <c r="F260" s="5" t="inlineStr">
        <is>
          <t>맞음</t>
        </is>
      </c>
      <c r="G260" s="5" t="inlineStr"/>
      <c r="H260" s="3" t="inlineStr">
        <is>
          <t>こっ　こっ / こおして… ころして… / （早川）お前の力なら 楽に殺せるだろ</t>
        </is>
      </c>
      <c r="I260" s="4" t="n"/>
      <c r="J260" s="4" t="n"/>
      <c r="K260" s="4" t="n"/>
    </row>
    <row r="261">
      <c r="A261" s="2" t="n">
        <v>259</v>
      </c>
      <c r="B261" s="2" t="inlineStr">
        <is>
          <t>30:33.0</t>
        </is>
      </c>
      <c r="C261" s="2" t="inlineStr">
        <is>
          <t>너의 힘이면은 편안하게 죽일 수 있잖아.</t>
        </is>
      </c>
      <c r="D261" s="5" t="inlineStr">
        <is>
          <t>옮김</t>
        </is>
      </c>
      <c r="E261" s="5" t="inlineStr">
        <is>
          <t>（早川）お前の力なら 楽に殺せるだろ</t>
        </is>
      </c>
      <c r="F261" s="5" t="inlineStr">
        <is>
          <t>맞음</t>
        </is>
      </c>
      <c r="G261" s="5" t="inlineStr"/>
      <c r="H261" s="3" t="inlineStr">
        <is>
          <t>こっ　こっ / こおして… ころして… / （早川）お前の力なら 楽に殺せるだろ</t>
        </is>
      </c>
      <c r="I261" s="4" t="n"/>
      <c r="J261" s="4" t="n"/>
      <c r="K261" s="4" t="n"/>
    </row>
    <row r="262">
      <c r="A262" s="2" t="n">
        <v>260</v>
      </c>
      <c r="B262" s="2" t="inlineStr">
        <is>
          <t>30:43.0</t>
        </is>
      </c>
      <c r="C262" s="2" t="inlineStr">
        <is>
          <t>僕は天使に悪魔だよ。</t>
        </is>
      </c>
      <c r="D262" s="7" t="inlineStr">
        <is>
          <t>따라함</t>
        </is>
      </c>
      <c r="E262" s="7" t="inlineStr">
        <is>
          <t>僕は天使である前に悪魔だよ？</t>
        </is>
      </c>
      <c r="F262" s="7" t="inlineStr">
        <is>
          <t>대체로 맞음</t>
        </is>
      </c>
      <c r="G262" s="7" t="inlineStr">
        <is>
          <t>である前に → に</t>
        </is>
      </c>
      <c r="H262" s="3" t="inlineStr">
        <is>
          <t>え？　やだよ / 僕は天使である前に悪魔だよ？ / 人間は苦しんで 死ぬべきだと思ってる</t>
        </is>
      </c>
      <c r="I262" s="4" t="n"/>
      <c r="J262" s="4" t="n"/>
      <c r="K262" s="4" t="n"/>
    </row>
    <row r="263">
      <c r="A263" s="2" t="n">
        <v>261</v>
      </c>
      <c r="B263" s="2" t="inlineStr">
        <is>
          <t>30:47.0</t>
        </is>
      </c>
      <c r="C263" s="2" t="inlineStr">
        <is>
          <t>천사이면서도 악마다.</t>
        </is>
      </c>
      <c r="D263" s="10" t="inlineStr">
        <is>
          <t>옮김</t>
        </is>
      </c>
      <c r="E263" s="10" t="inlineStr">
        <is>
          <t>僕は天使である前に悪魔だよ？</t>
        </is>
      </c>
      <c r="F263" s="10" t="inlineStr">
        <is>
          <t>조금 맞음</t>
        </is>
      </c>
      <c r="G263" s="10" t="inlineStr">
        <is>
          <t>천사이기 전에 악마 → 천사이면서도 악마</t>
        </is>
      </c>
      <c r="H263" s="3" t="inlineStr">
        <is>
          <t>僕は天使である前に悪魔だよ？ / 人間は苦しんで 死ぬべきだと思ってる / 人間は苦しんで 死ぬべきだと思ってる</t>
        </is>
      </c>
      <c r="I263" s="4" t="n"/>
      <c r="J263" s="4" t="n"/>
      <c r="K263" s="4" t="n"/>
    </row>
    <row r="264">
      <c r="A264" s="2" t="n">
        <v>262</v>
      </c>
      <c r="B264" s="2" t="inlineStr">
        <is>
          <t>31:14.0</t>
        </is>
      </c>
      <c r="C264" s="2" t="inlineStr">
        <is>
          <t>너랑은 친하게 지낼 수 없겠다.</t>
        </is>
      </c>
      <c r="D264" s="7" t="inlineStr">
        <is>
          <t>옮김</t>
        </is>
      </c>
      <c r="E264" s="7" t="inlineStr">
        <is>
          <t>フリでもお前とは 仲良くなれないな</t>
        </is>
      </c>
      <c r="F264" s="7" t="inlineStr">
        <is>
          <t>대체로 맞음</t>
        </is>
      </c>
      <c r="G264" s="7" t="inlineStr">
        <is>
          <t>フリでも 빠짐</t>
        </is>
      </c>
      <c r="H264" s="3" t="inlineStr">
        <is>
          <t>うっ / （デビルハンター）あ… り… / フリでもお前とは 仲良くなれないな</t>
        </is>
      </c>
      <c r="I264" s="4" t="n"/>
      <c r="J264" s="4" t="n"/>
      <c r="K264" s="4" t="n"/>
    </row>
    <row r="265">
      <c r="A265" s="2" t="n">
        <v>263</v>
      </c>
      <c r="B265" s="2" t="inlineStr">
        <is>
          <t>31:19.0</t>
        </is>
      </c>
      <c r="C265" s="2" t="inlineStr">
        <is>
          <t>フリデモ는 무슨 뜻인지 모르겠네.</t>
        </is>
      </c>
      <c r="D265" s="6" t="inlineStr">
        <is>
          <t>못알아들음</t>
        </is>
      </c>
      <c r="E265" s="6" t="inlineStr">
        <is>
          <t>フリでもお前とは 仲良くなれないな</t>
        </is>
      </c>
      <c r="F265" s="6" t="inlineStr">
        <is>
          <t>못 알아들음</t>
        </is>
      </c>
      <c r="G265" s="6" t="inlineStr">
        <is>
          <t>フリでも</t>
        </is>
      </c>
      <c r="H265" s="3" t="inlineStr">
        <is>
          <t>フリでもお前とは 仲良くなれないな / （天使の悪魔）らしいね / （天使の悪魔）らしいね</t>
        </is>
      </c>
      <c r="I265" s="4" t="n"/>
      <c r="J265" s="4" t="n"/>
      <c r="K265" s="4" t="n"/>
    </row>
    <row r="266">
      <c r="A266" s="2" t="n">
        <v>264</v>
      </c>
      <c r="B266" s="2" t="inlineStr">
        <is>
          <t>31:29.0</t>
        </is>
      </c>
      <c r="C266" s="2" t="inlineStr">
        <is>
          <t>俺の心はマキマさんが見つけてくれた。</t>
        </is>
      </c>
      <c r="D266" s="5" t="inlineStr">
        <is>
          <t>따라함</t>
        </is>
      </c>
      <c r="E266" s="5" t="inlineStr">
        <is>
          <t>（デンジ）俺の心は マキマさんが 見つけてくれた</t>
        </is>
      </c>
      <c r="F266" s="5" t="inlineStr">
        <is>
          <t>맞음</t>
        </is>
      </c>
      <c r="G266" s="5" t="inlineStr"/>
      <c r="H266" s="3" t="inlineStr">
        <is>
          <t>（天使の悪魔）らしいね / （デンジ）俺の心は / マキマさんが 見つけてくれた</t>
        </is>
      </c>
      <c r="I266" s="4" t="n"/>
      <c r="J266" s="4" t="n"/>
      <c r="K266" s="4" t="n"/>
    </row>
    <row r="267">
      <c r="A267" s="2" t="n">
        <v>265</v>
      </c>
      <c r="B267" s="2" t="inlineStr">
        <is>
          <t>31:32.7</t>
        </is>
      </c>
      <c r="C267" s="2" t="inlineStr">
        <is>
          <t>내 마음은 마키마상이 찾아줬다.</t>
        </is>
      </c>
      <c r="D267" s="5" t="inlineStr">
        <is>
          <t>옮김</t>
        </is>
      </c>
      <c r="E267" s="5" t="inlineStr">
        <is>
          <t>（デンジ）俺の心は マキマさんが 見つけてくれた</t>
        </is>
      </c>
      <c r="F267" s="5" t="inlineStr">
        <is>
          <t>맞음</t>
        </is>
      </c>
      <c r="G267" s="5" t="inlineStr"/>
      <c r="H267" s="3" t="inlineStr">
        <is>
          <t>（天使の悪魔）らしいね / （デンジ）俺の心は / マキマさんが 見つけてくれた</t>
        </is>
      </c>
      <c r="I267" s="4" t="n"/>
      <c r="J267" s="4" t="n"/>
      <c r="K267" s="4" t="n"/>
    </row>
    <row r="268">
      <c r="A268" s="2" t="n">
        <v>266</v>
      </c>
      <c r="B268" s="2" t="inlineStr">
        <is>
          <t>31:43.1</t>
        </is>
      </c>
      <c r="C268" s="2" t="inlineStr">
        <is>
          <t>그래서 내 마음은 마키마상 거다.</t>
        </is>
      </c>
      <c r="D268" s="5" t="inlineStr">
        <is>
          <t>옮김</t>
        </is>
      </c>
      <c r="E268" s="5" t="inlineStr">
        <is>
          <t>だから俺の心は マキマさんだけのモンだ</t>
        </is>
      </c>
      <c r="F268" s="5" t="inlineStr">
        <is>
          <t>맞음</t>
        </is>
      </c>
      <c r="G268" s="5" t="inlineStr"/>
      <c r="H268" s="3" t="inlineStr">
        <is>
          <t>（デンジ）俺の心は / マキマさんが 見つけてくれた / だから俺の心は マキマさんだけのモンだ</t>
        </is>
      </c>
      <c r="I268" s="4" t="n"/>
      <c r="J268" s="4" t="n"/>
      <c r="K268" s="4" t="n"/>
    </row>
    <row r="269">
      <c r="A269" s="2" t="n">
        <v>267</v>
      </c>
      <c r="B269" s="2" t="inlineStr">
        <is>
          <t>31:49.3</t>
        </is>
      </c>
      <c r="C269" s="2" t="inlineStr">
        <is>
          <t>어, 오로지 마키마상 거다.</t>
        </is>
      </c>
      <c r="D269" s="5" t="inlineStr">
        <is>
          <t>옮김</t>
        </is>
      </c>
      <c r="E269" s="5" t="inlineStr">
        <is>
          <t>だから俺の心は マキマさんだけのモンだ</t>
        </is>
      </c>
      <c r="F269" s="5" t="inlineStr">
        <is>
          <t>맞음</t>
        </is>
      </c>
      <c r="G269" s="5" t="inlineStr"/>
      <c r="H269" s="3" t="inlineStr">
        <is>
          <t>（デンジ）俺の心は / マキマさんが 見つけてくれた / だから俺の心は マキマさんだけのモンだ</t>
        </is>
      </c>
      <c r="I269" s="4" t="n"/>
      <c r="J269" s="4" t="n"/>
      <c r="K269" s="4" t="n"/>
    </row>
    <row r="270">
      <c r="A270" s="2" t="n">
        <v>268</v>
      </c>
      <c r="B270" s="2" t="inlineStr">
        <is>
          <t>31:52.2</t>
        </is>
      </c>
      <c r="C270" s="3" t="inlineStr">
        <is>
          <t>아 이렇게 말로 하기가 힘드냐</t>
        </is>
      </c>
      <c r="D270" s="3" t="inlineStr">
        <is>
          <t>반응·혼잣말</t>
        </is>
      </c>
      <c r="E270" s="2" t="inlineStr"/>
      <c r="F270" s="2" t="inlineStr"/>
      <c r="G270" s="2" t="inlineStr"/>
      <c r="H270" s="3" t="inlineStr">
        <is>
          <t>マキマさんが 見つけてくれた / だから俺の心は マキマさんだけのモンだ / でも</t>
        </is>
      </c>
      <c r="I270" s="4" t="n"/>
      <c r="J270" s="4" t="n"/>
      <c r="K270" s="4" t="n"/>
    </row>
    <row r="271">
      <c r="A271" s="2" t="n">
        <v>269</v>
      </c>
      <c r="B271" s="2" t="inlineStr">
        <is>
          <t>31:57.0</t>
        </is>
      </c>
      <c r="C271" s="2" t="inlineStr">
        <is>
          <t>体が勝手に</t>
        </is>
      </c>
      <c r="D271" s="5" t="inlineStr">
        <is>
          <t>따라함</t>
        </is>
      </c>
      <c r="E271" s="5" t="inlineStr">
        <is>
          <t>体が勝手に…</t>
        </is>
      </c>
      <c r="F271" s="5" t="inlineStr">
        <is>
          <t>맞음</t>
        </is>
      </c>
      <c r="G271" s="5" t="inlineStr"/>
      <c r="H271" s="3" t="inlineStr">
        <is>
          <t>でも / 体が勝手に… / （ドアベルの鳴る音） （レゼ）あ お客様だ！</t>
        </is>
      </c>
      <c r="I271" s="4" t="n"/>
      <c r="J271" s="4" t="n"/>
      <c r="K271" s="4" t="n"/>
    </row>
    <row r="272">
      <c r="A272" s="2" t="n">
        <v>270</v>
      </c>
      <c r="B272" s="2" t="inlineStr">
        <is>
          <t>32:01.0</t>
        </is>
      </c>
      <c r="C272" s="2" t="inlineStr">
        <is>
          <t>お客様だ</t>
        </is>
      </c>
      <c r="D272" s="5" t="inlineStr">
        <is>
          <t>따라함</t>
        </is>
      </c>
      <c r="E272" s="5" t="inlineStr">
        <is>
          <t>（レゼ）あ お客様だ！</t>
        </is>
      </c>
      <c r="F272" s="5" t="inlineStr">
        <is>
          <t>맞음</t>
        </is>
      </c>
      <c r="G272" s="5" t="inlineStr"/>
      <c r="H272" s="3" t="inlineStr">
        <is>
          <t>体が勝手に… / （ドアベルの鳴る音） （レゼ）あ お客様だ！ / 昼 食いきた</t>
        </is>
      </c>
      <c r="I272" s="4" t="n"/>
      <c r="J272" s="4" t="n"/>
      <c r="K272" s="4" t="n"/>
    </row>
    <row r="273">
      <c r="A273" s="2" t="n">
        <v>271</v>
      </c>
      <c r="B273" s="2" t="inlineStr">
        <is>
          <t>32:08.2</t>
        </is>
      </c>
      <c r="C273" s="2" t="inlineStr">
        <is>
          <t>여기 맛없다고</t>
        </is>
      </c>
      <c r="D273" s="7" t="inlineStr">
        <is>
          <t>옮김</t>
        </is>
      </c>
      <c r="E273" s="7" t="inlineStr">
        <is>
          <t>一週間も続けて来るほど おいしくないでしょココ</t>
        </is>
      </c>
      <c r="F273" s="7" t="inlineStr">
        <is>
          <t>대체로 맞음</t>
        </is>
      </c>
      <c r="G273" s="7" t="inlineStr">
        <is>
          <t>一週間も続けて 빠짐</t>
        </is>
      </c>
      <c r="H273" s="3" t="inlineStr">
        <is>
          <t>（ドアベルの鳴る音） （レゼ）あ お客様だ！ / 昼 食いきた / 一週間も続けて来るほど おいしくないでしょココ</t>
        </is>
      </c>
      <c r="I273" s="4" t="n"/>
      <c r="J273" s="4" t="n"/>
      <c r="K273" s="4" t="n"/>
    </row>
    <row r="274">
      <c r="A274" s="2" t="n">
        <v>272</v>
      </c>
      <c r="B274" s="2" t="inlineStr">
        <is>
          <t>32:11.0</t>
        </is>
      </c>
      <c r="C274" s="2" t="inlineStr">
        <is>
          <t>うまいよ</t>
        </is>
      </c>
      <c r="D274" s="5" t="inlineStr">
        <is>
          <t>따라함</t>
        </is>
      </c>
      <c r="E274" s="5" t="inlineStr">
        <is>
          <t>（デンジ）ウマいよ？</t>
        </is>
      </c>
      <c r="F274" s="5" t="inlineStr">
        <is>
          <t>맞음</t>
        </is>
      </c>
      <c r="G274" s="5" t="inlineStr"/>
      <c r="H274" s="3" t="inlineStr">
        <is>
          <t>一週間も続けて来るほど おいしくないでしょココ / （デンジ）ウマいよ？ / おいしいよ</t>
        </is>
      </c>
      <c r="I274" s="4" t="n"/>
      <c r="J274" s="4" t="n"/>
      <c r="K274" s="4" t="n"/>
    </row>
    <row r="275">
      <c r="A275" s="2" t="n">
        <v>273</v>
      </c>
      <c r="B275" s="2" t="inlineStr">
        <is>
          <t>32:13.0</t>
        </is>
      </c>
      <c r="C275" s="2" t="inlineStr">
        <is>
          <t>美味しいよ</t>
        </is>
      </c>
      <c r="D275" s="5" t="inlineStr">
        <is>
          <t>따라함</t>
        </is>
      </c>
      <c r="E275" s="5" t="inlineStr">
        <is>
          <t>おいしいよ</t>
        </is>
      </c>
      <c r="F275" s="5" t="inlineStr">
        <is>
          <t>맞음</t>
        </is>
      </c>
      <c r="G275" s="5" t="inlineStr"/>
      <c r="H275" s="3" t="inlineStr">
        <is>
          <t>（デンジ）ウマいよ？ / おいしいよ / バカ舌</t>
        </is>
      </c>
      <c r="I275" s="4" t="n"/>
      <c r="J275" s="4" t="n"/>
      <c r="K275" s="4" t="n"/>
    </row>
    <row r="276">
      <c r="A276" s="2" t="n">
        <v>274</v>
      </c>
      <c r="B276" s="2" t="inlineStr">
        <is>
          <t>32:17.2</t>
        </is>
      </c>
      <c r="C276" s="2" t="inlineStr">
        <is>
          <t>どうだろう</t>
        </is>
      </c>
      <c r="D276" s="10" t="inlineStr">
        <is>
          <t>따라함</t>
        </is>
      </c>
      <c r="E276" s="10" t="inlineStr">
        <is>
          <t>そうだなあ…</t>
        </is>
      </c>
      <c r="F276" s="10" t="inlineStr">
        <is>
          <t>조금 맞음</t>
        </is>
      </c>
      <c r="G276" s="10" t="inlineStr">
        <is>
          <t>そうだなあ → どうだろう</t>
        </is>
      </c>
      <c r="H276" s="3" t="inlineStr">
        <is>
          <t>バカ舌 / そうだなあ… / カレーと… アイス…</t>
        </is>
      </c>
      <c r="I276" s="4" t="n"/>
      <c r="J276" s="4" t="n"/>
      <c r="K276" s="4" t="n"/>
    </row>
    <row r="277">
      <c r="A277" s="2" t="n">
        <v>275</v>
      </c>
      <c r="B277" s="2" t="inlineStr">
        <is>
          <t>32:33.0</t>
        </is>
      </c>
      <c r="C277" s="2" t="inlineStr">
        <is>
          <t>君は学校行ってないだろ</t>
        </is>
      </c>
      <c r="D277" s="5" t="inlineStr">
        <is>
          <t>따라함</t>
        </is>
      </c>
      <c r="E277" s="5" t="inlineStr">
        <is>
          <t>キミは学校 行ってないだろ～？</t>
        </is>
      </c>
      <c r="F277" s="5" t="inlineStr">
        <is>
          <t>맞음</t>
        </is>
      </c>
      <c r="G277" s="5" t="inlineStr"/>
      <c r="H277" s="3" t="inlineStr">
        <is>
          <t>（デンジ）いーよ… / 勉強中だろ？　店員のクセによ / キミは学校 行ってないだろ～？</t>
        </is>
      </c>
      <c r="I277" s="4" t="n"/>
      <c r="J277" s="4" t="n"/>
      <c r="K277" s="4" t="n"/>
    </row>
    <row r="278">
      <c r="A278" s="2" t="n">
        <v>276</v>
      </c>
      <c r="B278" s="2" t="inlineStr">
        <is>
          <t>32:35.5</t>
        </is>
      </c>
      <c r="C278" s="2" t="inlineStr">
        <is>
          <t>넌 학교 안 가잖아</t>
        </is>
      </c>
      <c r="D278" s="5" t="inlineStr">
        <is>
          <t>옮김</t>
        </is>
      </c>
      <c r="E278" s="5" t="inlineStr">
        <is>
          <t>キミは学校 行ってないだろ～？</t>
        </is>
      </c>
      <c r="F278" s="5" t="inlineStr">
        <is>
          <t>맞음</t>
        </is>
      </c>
      <c r="G278" s="5" t="inlineStr"/>
      <c r="H278" s="3" t="inlineStr">
        <is>
          <t>（デンジ）いーよ… / 勉強中だろ？　店員のクセによ / キミは学校 行ってないだろ～？</t>
        </is>
      </c>
      <c r="I278" s="4" t="n"/>
      <c r="J278" s="4" t="n"/>
      <c r="K278" s="4" t="n"/>
    </row>
    <row r="279">
      <c r="A279" s="2" t="n">
        <v>277</v>
      </c>
      <c r="B279" s="2" t="inlineStr">
        <is>
          <t>32:40.0</t>
        </is>
      </c>
      <c r="C279" s="2" t="inlineStr">
        <is>
          <t>16살인 주제에</t>
        </is>
      </c>
      <c r="D279" s="5" t="inlineStr">
        <is>
          <t>옮김</t>
        </is>
      </c>
      <c r="E279" s="5" t="inlineStr">
        <is>
          <t>16歳のクセによ</t>
        </is>
      </c>
      <c r="F279" s="5" t="inlineStr">
        <is>
          <t>맞음</t>
        </is>
      </c>
      <c r="G279" s="5" t="inlineStr"/>
      <c r="H279" s="3" t="inlineStr">
        <is>
          <t>勉強中だろ？　店員のクセによ / キミは学校 行ってないだろ～？ / 16歳のクセによ</t>
        </is>
      </c>
      <c r="I279" s="4" t="n"/>
      <c r="J279" s="4" t="n"/>
      <c r="K279" s="4" t="n"/>
    </row>
    <row r="280">
      <c r="A280" s="2" t="n">
        <v>278</v>
      </c>
      <c r="B280" s="2" t="inlineStr">
        <is>
          <t>32:48.0</t>
        </is>
      </c>
      <c r="C280" s="2" t="inlineStr">
        <is>
          <t>그쪽이 좀 더 위험하다고</t>
        </is>
      </c>
      <c r="D280" s="5" t="inlineStr">
        <is>
          <t>옮김</t>
        </is>
      </c>
      <c r="E280" s="5" t="inlineStr">
        <is>
          <t>そっちのほうが ヤバいと思いますけどねぇ</t>
        </is>
      </c>
      <c r="F280" s="5" t="inlineStr">
        <is>
          <t>맞음</t>
        </is>
      </c>
      <c r="G280" s="5" t="inlineStr"/>
      <c r="H280" s="3" t="inlineStr">
        <is>
          <t>16歳のクセによ / ん～ / そっちのほうが ヤバいと思いますけどねぇ</t>
        </is>
      </c>
      <c r="I280" s="4" t="n"/>
      <c r="J280" s="4" t="n"/>
      <c r="K280" s="4" t="n"/>
    </row>
    <row r="281">
      <c r="A281" s="2" t="n">
        <v>279</v>
      </c>
      <c r="B281" s="2" t="inlineStr">
        <is>
          <t>32:52.6</t>
        </is>
      </c>
      <c r="C281" s="2" t="inlineStr">
        <is>
          <t>そうかな</t>
        </is>
      </c>
      <c r="D281" s="5" t="inlineStr">
        <is>
          <t>따라함</t>
        </is>
      </c>
      <c r="E281" s="5" t="inlineStr">
        <is>
          <t>そうかなあ…</t>
        </is>
      </c>
      <c r="F281" s="5" t="inlineStr">
        <is>
          <t>맞음</t>
        </is>
      </c>
      <c r="G281" s="5" t="inlineStr"/>
      <c r="H281" s="3" t="inlineStr">
        <is>
          <t>そっちのほうが ヤバいと思いますけどねぇ / そうかなあ… / そうかあ？</t>
        </is>
      </c>
      <c r="I281" s="4" t="n"/>
      <c r="J281" s="4" t="n"/>
      <c r="K281" s="4" t="n"/>
    </row>
    <row r="282">
      <c r="A282" s="2" t="n">
        <v>280</v>
      </c>
      <c r="B282" s="2" t="inlineStr">
        <is>
          <t>32:54.6</t>
        </is>
      </c>
      <c r="C282" s="2" t="inlineStr">
        <is>
          <t>そうか</t>
        </is>
      </c>
      <c r="D282" s="5" t="inlineStr">
        <is>
          <t>따라함</t>
        </is>
      </c>
      <c r="E282" s="5" t="inlineStr">
        <is>
          <t>そうかあ？</t>
        </is>
      </c>
      <c r="F282" s="5" t="inlineStr">
        <is>
          <t>맞음</t>
        </is>
      </c>
      <c r="G282" s="5" t="inlineStr"/>
      <c r="H282" s="3" t="inlineStr">
        <is>
          <t>そうかなあ… / そうかあ？ / 学校行かないで デビルハンターなんて</t>
        </is>
      </c>
      <c r="I282" s="4" t="n"/>
      <c r="J282" s="4" t="n"/>
      <c r="K282" s="4" t="n"/>
    </row>
    <row r="283">
      <c r="A283" s="2" t="n">
        <v>281</v>
      </c>
      <c r="B283" s="2" t="inlineStr">
        <is>
          <t>32:58.5</t>
        </is>
      </c>
      <c r="C283" s="2" t="inlineStr">
        <is>
          <t>학교도 안 가면서 데빌 헌터라니</t>
        </is>
      </c>
      <c r="D283" s="5" t="inlineStr">
        <is>
          <t>옮김</t>
        </is>
      </c>
      <c r="E283" s="5" t="inlineStr">
        <is>
          <t>学校行かないで デビルハンターなんて</t>
        </is>
      </c>
      <c r="F283" s="5" t="inlineStr">
        <is>
          <t>맞음</t>
        </is>
      </c>
      <c r="G283" s="5" t="inlineStr"/>
      <c r="H283" s="3" t="inlineStr">
        <is>
          <t>そうかあ？ / 学校行かないで デビルハンターなんて / 珍種だよ 珍種</t>
        </is>
      </c>
      <c r="I283" s="4" t="n"/>
      <c r="J283" s="4" t="n"/>
      <c r="K283" s="4" t="n"/>
    </row>
    <row r="284">
      <c r="A284" s="2" t="n">
        <v>282</v>
      </c>
      <c r="B284" s="2" t="inlineStr">
        <is>
          <t>33:03.0</t>
        </is>
      </c>
      <c r="C284" s="2" t="inlineStr">
        <is>
          <t>ジン ジンシュ ジンシュ 어 뭔지 모르겠어</t>
        </is>
      </c>
      <c r="D284" s="5" t="inlineStr">
        <is>
          <t>따라함</t>
        </is>
      </c>
      <c r="E284" s="5" t="inlineStr">
        <is>
          <t>珍種だよ 珍種</t>
        </is>
      </c>
      <c r="F284" s="5" t="inlineStr">
        <is>
          <t>맞음</t>
        </is>
      </c>
      <c r="G284" s="5" t="inlineStr">
        <is>
          <t>소리는 따라 했지만 뜻은 모름</t>
        </is>
      </c>
      <c r="H284" s="3" t="inlineStr">
        <is>
          <t>学校行かないで デビルハンターなんて / 珍種だよ 珍種 / 珍種だよ 珍種</t>
        </is>
      </c>
      <c r="I284" s="4" t="n"/>
      <c r="J284" s="4" t="n"/>
      <c r="K284" s="4" t="n"/>
    </row>
    <row r="285">
      <c r="A285" s="2" t="n">
        <v>283</v>
      </c>
      <c r="B285" s="2" t="inlineStr">
        <is>
          <t>33:06.0</t>
        </is>
      </c>
      <c r="C285" s="2" t="inlineStr">
        <is>
          <t>어 뭔지 모르겠어</t>
        </is>
      </c>
      <c r="D285" s="6" t="inlineStr">
        <is>
          <t>못알아들음</t>
        </is>
      </c>
      <c r="E285" s="6" t="inlineStr">
        <is>
          <t>珍種だよ 珍種</t>
        </is>
      </c>
      <c r="F285" s="6" t="inlineStr">
        <is>
          <t>못 알아들음</t>
        </is>
      </c>
      <c r="G285" s="6" t="inlineStr"/>
      <c r="H285" s="3" t="inlineStr">
        <is>
          <t>学校行かないで デビルハンターなんて / 珍種だよ 珍種 / 珍種だよ 珍種</t>
        </is>
      </c>
      <c r="I285" s="4" t="n"/>
      <c r="J285" s="4" t="n"/>
      <c r="K285" s="4" t="n"/>
    </row>
    <row r="286">
      <c r="A286" s="2" t="n">
        <v>284</v>
      </c>
      <c r="B286" s="2" t="inlineStr">
        <is>
          <t>33:15.8</t>
        </is>
      </c>
      <c r="C286" s="3" t="inlineStr">
        <is>
          <t>여기서</t>
        </is>
      </c>
      <c r="D286" s="3" t="inlineStr">
        <is>
          <t>반응·혼잣말</t>
        </is>
      </c>
      <c r="E286" s="2" t="inlineStr"/>
      <c r="F286" s="2" t="inlineStr"/>
      <c r="G286" s="2" t="inlineStr"/>
      <c r="H286" s="3" t="inlineStr">
        <is>
          <t>珍種だよ 珍種 / こっちで勉強しよ～っと / （デンジ）おっ ん… （レゼ）そっち つめてつめて</t>
        </is>
      </c>
      <c r="I286" s="4" t="n"/>
      <c r="J286" s="4" t="n"/>
      <c r="K286" s="4" t="n"/>
    </row>
    <row r="287">
      <c r="A287" s="2" t="n">
        <v>285</v>
      </c>
      <c r="B287" s="2" t="inlineStr">
        <is>
          <t>33:19.1</t>
        </is>
      </c>
      <c r="C287" s="2" t="inlineStr">
        <is>
          <t>여기서 공부해볼까</t>
        </is>
      </c>
      <c r="D287" s="5" t="inlineStr">
        <is>
          <t>옮김</t>
        </is>
      </c>
      <c r="E287" s="5" t="inlineStr">
        <is>
          <t>こっちで勉強しよ～っと</t>
        </is>
      </c>
      <c r="F287" s="5" t="inlineStr">
        <is>
          <t>맞음</t>
        </is>
      </c>
      <c r="G287" s="5" t="inlineStr"/>
      <c r="H287" s="3" t="inlineStr">
        <is>
          <t>珍種だよ 珍種 / こっちで勉強しよ～っと / （デンジ）おっ ん… （レゼ）そっち つめてつめて</t>
        </is>
      </c>
      <c r="I287" s="4" t="n"/>
      <c r="J287" s="4" t="n"/>
      <c r="K287" s="4" t="n"/>
    </row>
    <row r="288">
      <c r="A288" s="2" t="n">
        <v>286</v>
      </c>
      <c r="B288" s="2" t="inlineStr">
        <is>
          <t>33:23.0</t>
        </is>
      </c>
      <c r="C288" s="2" t="inlineStr">
        <is>
          <t>詰めて, 詰めて</t>
        </is>
      </c>
      <c r="D288" s="5" t="inlineStr">
        <is>
          <t>따라함</t>
        </is>
      </c>
      <c r="E288" s="5" t="inlineStr">
        <is>
          <t>（レゼ）そっち つめてつめて</t>
        </is>
      </c>
      <c r="F288" s="5" t="inlineStr">
        <is>
          <t>맞음</t>
        </is>
      </c>
      <c r="G288" s="5" t="inlineStr"/>
      <c r="H288" s="3" t="inlineStr">
        <is>
          <t>珍種だよ 珍種 / こっちで勉強しよ～っと / （デンジ）おっ ん… （レゼ）そっち つめてつめて</t>
        </is>
      </c>
      <c r="I288" s="4" t="n"/>
      <c r="J288" s="4" t="n"/>
      <c r="K288" s="4" t="n"/>
    </row>
    <row r="289">
      <c r="A289" s="2" t="n">
        <v>287</v>
      </c>
      <c r="B289" s="2" t="inlineStr">
        <is>
          <t>33:29.0</t>
        </is>
      </c>
      <c r="C289" s="2" t="inlineStr">
        <is>
          <t>漢字は読めない</t>
        </is>
      </c>
      <c r="D289" s="7" t="inlineStr">
        <is>
          <t>따라함</t>
        </is>
      </c>
      <c r="E289" s="7" t="inlineStr">
        <is>
          <t>（レゼ）漢字 読めないの!?</t>
        </is>
      </c>
      <c r="F289" s="7" t="inlineStr">
        <is>
          <t>대체로 맞음</t>
        </is>
      </c>
      <c r="G289" s="7" t="inlineStr"/>
      <c r="H289" s="3" t="inlineStr">
        <is>
          <t>（デンジ）おっ ん… （レゼ）そっち つめてつめて / （デンジ）漢字は読めるように なりたいかな… / [추정] （レゼ）漢字 読めないの!?</t>
        </is>
      </c>
      <c r="I289" s="4" t="n"/>
      <c r="J289" s="4" t="n"/>
      <c r="K289" s="4" t="n"/>
    </row>
    <row r="290">
      <c r="A290" s="2" t="n">
        <v>288</v>
      </c>
      <c r="B290" s="2" t="inlineStr">
        <is>
          <t>33:31.0</t>
        </is>
      </c>
      <c r="C290" s="2" t="inlineStr">
        <is>
          <t>한자 못 읽는다 뭐 그런 말인가 나도 못 읽는데</t>
        </is>
      </c>
      <c r="D290" s="5" t="inlineStr">
        <is>
          <t>옮김</t>
        </is>
      </c>
      <c r="E290" s="5" t="inlineStr">
        <is>
          <t>（レゼ）漢字 読めないの!?</t>
        </is>
      </c>
      <c r="F290" s="5" t="inlineStr">
        <is>
          <t>맞음</t>
        </is>
      </c>
      <c r="G290" s="5" t="inlineStr">
        <is>
          <t>나도 못 읽는데</t>
        </is>
      </c>
      <c r="H290" s="3" t="inlineStr">
        <is>
          <t>（デンジ）おっ ん… （レゼ）そっち つめてつめて / （デンジ）漢字は読めるように なりたいかな… / [추정] （レゼ）漢字 読めないの!?</t>
        </is>
      </c>
      <c r="I290" s="4" t="n"/>
      <c r="J290" s="4" t="n"/>
      <c r="K290" s="4" t="n"/>
    </row>
    <row r="291">
      <c r="A291" s="2" t="n">
        <v>289</v>
      </c>
      <c r="B291" s="2" t="inlineStr">
        <is>
          <t>33:38.0</t>
        </is>
      </c>
      <c r="C291" s="3" t="inlineStr">
        <is>
          <t>어</t>
        </is>
      </c>
      <c r="D291" s="3" t="inlineStr">
        <is>
          <t>소리·감탄</t>
        </is>
      </c>
      <c r="E291" s="2" t="inlineStr"/>
      <c r="F291" s="2" t="inlineStr"/>
      <c r="G291" s="2" t="inlineStr"/>
      <c r="H291" s="3" t="inlineStr">
        <is>
          <t>（デンジ）漢字は読めるように なりたいかな… / [추정] （レゼ）漢字 読めないの!? / じゃあ教えてあげる 泳ぎ方</t>
        </is>
      </c>
      <c r="I291" s="4" t="n"/>
      <c r="J291" s="4" t="n"/>
      <c r="K291" s="4" t="n"/>
    </row>
    <row r="292">
      <c r="A292" s="2" t="n">
        <v>290</v>
      </c>
      <c r="B292" s="2" t="inlineStr">
        <is>
          <t>33:40.4</t>
        </is>
      </c>
      <c r="C292" s="2" t="inlineStr">
        <is>
          <t>알려줄게</t>
        </is>
      </c>
      <c r="D292" s="5" t="inlineStr">
        <is>
          <t>옮김</t>
        </is>
      </c>
      <c r="E292" s="5" t="inlineStr">
        <is>
          <t>じゃ教えてあげる！</t>
        </is>
      </c>
      <c r="F292" s="5" t="inlineStr">
        <is>
          <t>맞음</t>
        </is>
      </c>
      <c r="G292" s="5" t="inlineStr"/>
      <c r="H292" s="3" t="inlineStr">
        <is>
          <t>[추정] （レゼ）漢字 読めないの!? / じゃあ教えてあげる 泳ぎ方 / [추정] じゃ教えてあげる！</t>
        </is>
      </c>
      <c r="I292" s="4" t="n"/>
      <c r="J292" s="4" t="n"/>
      <c r="K292" s="4" t="n"/>
    </row>
    <row r="293">
      <c r="A293" s="2" t="n">
        <v>291</v>
      </c>
      <c r="B293" s="2" t="inlineStr">
        <is>
          <t>33:43.0</t>
        </is>
      </c>
      <c r="C293" s="2" t="inlineStr">
        <is>
          <t>짜잔</t>
        </is>
      </c>
      <c r="D293" s="5" t="inlineStr">
        <is>
          <t>옮김</t>
        </is>
      </c>
      <c r="E293" s="5" t="inlineStr">
        <is>
          <t>ジャジャン！</t>
        </is>
      </c>
      <c r="F293" s="5" t="inlineStr">
        <is>
          <t>맞음</t>
        </is>
      </c>
      <c r="G293" s="5" t="inlineStr"/>
      <c r="H293" s="3" t="inlineStr">
        <is>
          <t>[추정] じゃ教えてあげる！ / ん？ / [추정] 問題</t>
        </is>
      </c>
      <c r="I293" s="4" t="n"/>
      <c r="J293" s="4" t="n"/>
      <c r="K293" s="4" t="n"/>
    </row>
    <row r="294">
      <c r="A294" s="2" t="n">
        <v>292</v>
      </c>
      <c r="B294" s="2" t="inlineStr">
        <is>
          <t>33:45.9</t>
        </is>
      </c>
      <c r="C294" s="2" t="inlineStr">
        <is>
          <t>金玉</t>
        </is>
      </c>
      <c r="D294" s="5" t="inlineStr">
        <is>
          <t>읽기</t>
        </is>
      </c>
      <c r="E294" s="5" t="inlineStr">
        <is>
          <t>화면 한자 金玉</t>
        </is>
      </c>
      <c r="F294" s="5" t="inlineStr">
        <is>
          <t>맞음</t>
        </is>
      </c>
      <c r="G294" s="5" t="inlineStr">
        <is>
          <t>덴지가 답하기 전에 먼저 읽음</t>
        </is>
      </c>
      <c r="H294" s="3" t="inlineStr">
        <is>
          <t>[추정] 問題 / ジャジャン！ / これはなんと読むでしょう？</t>
        </is>
      </c>
      <c r="I294" s="4" t="n"/>
      <c r="J294" s="4" t="n"/>
      <c r="K294" s="4" t="n"/>
    </row>
    <row r="295">
      <c r="A295" s="2" t="n">
        <v>293</v>
      </c>
      <c r="B295" s="2" t="inlineStr">
        <is>
          <t>33:54.8</t>
        </is>
      </c>
      <c r="C295" s="2" t="inlineStr">
        <is>
          <t>唯一 金玉だけは</t>
        </is>
      </c>
      <c r="D295" s="5" t="inlineStr">
        <is>
          <t>따라함</t>
        </is>
      </c>
      <c r="E295" s="5" t="inlineStr">
        <is>
          <t>唯一 キンタマだけは 読めるんだよ！</t>
        </is>
      </c>
      <c r="F295" s="5" t="inlineStr">
        <is>
          <t>맞음</t>
        </is>
      </c>
      <c r="G295" s="5" t="inlineStr"/>
      <c r="H295" s="3" t="inlineStr">
        <is>
          <t>（デンジ）キンタマだろ　エロ女！ / なんだ　わかってるじゃん / 唯一 キンタマだけは 読めるんだよ！</t>
        </is>
      </c>
      <c r="I295" s="4" t="n"/>
      <c r="J295" s="4" t="n"/>
      <c r="K295" s="4" t="n"/>
    </row>
    <row r="296">
      <c r="A296" s="2" t="n">
        <v>294</v>
      </c>
      <c r="B296" s="2" t="inlineStr">
        <is>
          <t>33:57.4</t>
        </is>
      </c>
      <c r="C296" s="2" t="inlineStr">
        <is>
          <t>불알은 읽을 수 있다 불알만은 읽을 수 있다</t>
        </is>
      </c>
      <c r="D296" s="5" t="inlineStr">
        <is>
          <t>옮김</t>
        </is>
      </c>
      <c r="E296" s="5" t="inlineStr">
        <is>
          <t>唯一 キンタマだけは 読めるんだよ！</t>
        </is>
      </c>
      <c r="F296" s="5" t="inlineStr">
        <is>
          <t>맞음</t>
        </is>
      </c>
      <c r="G296" s="5" t="inlineStr"/>
      <c r="H296" s="3" t="inlineStr">
        <is>
          <t>（デンジ）キンタマだろ　エロ女！ / なんだ　わかってるじゃん / 唯一 キンタマだけは 読めるんだよ！</t>
        </is>
      </c>
      <c r="I296" s="4" t="n"/>
      <c r="J296" s="4" t="n"/>
      <c r="K296" s="4" t="n"/>
    </row>
    <row r="297">
      <c r="A297" s="2" t="n">
        <v>295</v>
      </c>
      <c r="B297" s="2" t="inlineStr">
        <is>
          <t>34:07.0</t>
        </is>
      </c>
      <c r="C297" s="3" t="inlineStr">
        <is>
          <t>그게 뭐야</t>
        </is>
      </c>
      <c r="D297" s="3" t="inlineStr">
        <is>
          <t>반응·혼잣말</t>
        </is>
      </c>
      <c r="E297" s="2" t="inlineStr"/>
      <c r="F297" s="2" t="inlineStr"/>
      <c r="G297" s="2" t="inlineStr"/>
      <c r="H297" s="3" t="inlineStr">
        <is>
          <t>唯一 キンタマだけは 読めるんだよ！ / なんじゃそりゃ！ / （デンジ）お…</t>
        </is>
      </c>
      <c r="I297" s="4" t="n"/>
      <c r="J297" s="4" t="n"/>
      <c r="K297" s="4" t="n"/>
    </row>
    <row r="298">
      <c r="A298" s="2" t="n">
        <v>296</v>
      </c>
      <c r="B298" s="2" t="inlineStr">
        <is>
          <t>34:08.0</t>
        </is>
      </c>
      <c r="C298" s="3" t="inlineStr">
        <is>
          <t>허이 씨발 간다</t>
        </is>
      </c>
      <c r="D298" s="3" t="inlineStr">
        <is>
          <t>반응·혼잣말</t>
        </is>
      </c>
      <c r="E298" s="2" t="inlineStr"/>
      <c r="F298" s="2" t="inlineStr"/>
      <c r="G298" s="2" t="inlineStr"/>
      <c r="H298" s="3" t="inlineStr">
        <is>
          <t>なんじゃそりゃ！ / （デンジ）お… / レゼとなら 学校行きたかったかな</t>
        </is>
      </c>
      <c r="I298" s="4" t="n"/>
      <c r="J298" s="4" t="n"/>
      <c r="K298" s="4" t="n"/>
    </row>
    <row r="299">
      <c r="A299" s="2" t="n">
        <v>297</v>
      </c>
      <c r="B299" s="2" t="inlineStr">
        <is>
          <t>34:16.5</t>
        </is>
      </c>
      <c r="C299" s="2" t="inlineStr">
        <is>
          <t>아 레제였다면 같이 가고 싶었다 재밌을 것 같기도 하고</t>
        </is>
      </c>
      <c r="D299" s="7" t="inlineStr">
        <is>
          <t>옮김</t>
        </is>
      </c>
      <c r="E299" s="7" t="inlineStr">
        <is>
          <t>レゼとなら 学校行きたかったかな / なんか楽しそうだし</t>
        </is>
      </c>
      <c r="F299" s="7" t="inlineStr">
        <is>
          <t>대체로 맞음</t>
        </is>
      </c>
      <c r="G299" s="7" t="inlineStr"/>
      <c r="H299" s="3" t="inlineStr">
        <is>
          <t>レゼとなら 学校行きたかったかな / なんか楽しそうだし / ふふ…</t>
        </is>
      </c>
      <c r="I299" s="4" t="n"/>
      <c r="J299" s="4" t="n"/>
      <c r="K299" s="4" t="n"/>
    </row>
    <row r="300">
      <c r="A300" s="2" t="n">
        <v>298</v>
      </c>
      <c r="B300" s="2" t="inlineStr">
        <is>
          <t>34:22.0</t>
        </is>
      </c>
      <c r="C300" s="3" t="inlineStr">
        <is>
          <t>눈이 초록색이네</t>
        </is>
      </c>
      <c r="D300" s="3" t="inlineStr">
        <is>
          <t>반응·혼잣말</t>
        </is>
      </c>
      <c r="E300" s="2" t="inlineStr"/>
      <c r="F300" s="2" t="inlineStr"/>
      <c r="G300" s="2" t="inlineStr"/>
      <c r="H300" s="3" t="inlineStr">
        <is>
          <t>なんか楽しそうだし / ふふ… / [시각추정] （デンジ）何言ってんだ オレは…</t>
        </is>
      </c>
      <c r="I300" s="4" t="n"/>
      <c r="J300" s="4" t="n"/>
      <c r="K300" s="4" t="n"/>
    </row>
    <row r="301">
      <c r="A301" s="2" t="n">
        <v>299</v>
      </c>
      <c r="B301" s="2" t="inlineStr">
        <is>
          <t>34:30.0</t>
        </is>
      </c>
      <c r="C301" s="3" t="inlineStr">
        <is>
          <t>뭐 하고 있나</t>
        </is>
      </c>
      <c r="D301" s="3" t="inlineStr">
        <is>
          <t>반응·혼잣말</t>
        </is>
      </c>
      <c r="E301" s="2" t="inlineStr"/>
      <c r="F301" s="2" t="inlineStr"/>
      <c r="G301" s="2" t="inlineStr"/>
      <c r="H301" s="3" t="inlineStr">
        <is>
          <t>ふふ… / [시각추정] （デンジ）何言ってんだ オレは… / [시각추정] （デンジ）おっ</t>
        </is>
      </c>
      <c r="I301" s="4" t="n"/>
      <c r="J301" s="4" t="n"/>
      <c r="K301" s="4" t="n"/>
    </row>
    <row r="302">
      <c r="A302" s="2" t="n">
        <v>300</v>
      </c>
      <c r="B302" s="2" t="inlineStr">
        <is>
          <t>34:32.0</t>
        </is>
      </c>
      <c r="C302" s="3" t="inlineStr">
        <is>
          <t>나란 놈</t>
        </is>
      </c>
      <c r="D302" s="3" t="inlineStr">
        <is>
          <t>반응·혼잣말</t>
        </is>
      </c>
      <c r="E302" s="2" t="inlineStr"/>
      <c r="F302" s="2" t="inlineStr"/>
      <c r="G302" s="2" t="inlineStr"/>
      <c r="H302" s="3" t="inlineStr">
        <is>
          <t>[시각추정] （デンジ）何言ってんだ オレは… / [시각추정] （デンジ）おっ / [시각추정] （デンジ）おっ</t>
        </is>
      </c>
      <c r="I302" s="4" t="n"/>
      <c r="J302" s="4" t="n"/>
      <c r="K302" s="4" t="n"/>
    </row>
    <row r="303">
      <c r="A303" s="2" t="n">
        <v>301</v>
      </c>
      <c r="B303" s="2" t="inlineStr">
        <is>
          <t>34:36.5</t>
        </is>
      </c>
      <c r="C303" s="3" t="inlineStr">
        <is>
          <t>허..?</t>
        </is>
      </c>
      <c r="D303" s="3" t="inlineStr">
        <is>
          <t>반응·혼잣말</t>
        </is>
      </c>
      <c r="E303" s="2" t="inlineStr"/>
      <c r="F303" s="2" t="inlineStr"/>
      <c r="G303" s="2" t="inlineStr"/>
      <c r="H303" s="3" t="inlineStr">
        <is>
          <t>[시각추정] 行っちゃいますか？　夜 / [시각추정] 夜？ / [시각추정] 一緒に夜の学校 探検しよ？</t>
        </is>
      </c>
      <c r="I303" s="4" t="n"/>
      <c r="J303" s="4" t="n"/>
      <c r="K303" s="4" t="n"/>
    </row>
    <row r="304">
      <c r="A304" s="2" t="n">
        <v>302</v>
      </c>
      <c r="B304" s="2" t="inlineStr">
        <is>
          <t>34:38.7</t>
        </is>
      </c>
      <c r="C304" s="2" t="inlineStr">
        <is>
          <t>いっちゃいますか</t>
        </is>
      </c>
      <c r="D304" s="5" t="inlineStr">
        <is>
          <t>따라함</t>
        </is>
      </c>
      <c r="E304" s="5" t="inlineStr">
        <is>
          <t>行っちゃいますか？　夜</t>
        </is>
      </c>
      <c r="F304" s="5" t="inlineStr">
        <is>
          <t>맞음</t>
        </is>
      </c>
      <c r="G304" s="5" t="inlineStr"/>
      <c r="H304" s="3" t="inlineStr">
        <is>
          <t>[시각추정] 行っちゃいますか？　夜 / [시각추정] 夜？ / [시각추정] 一緒に夜の学校 探検しよ？</t>
        </is>
      </c>
      <c r="I304" s="4" t="n"/>
      <c r="J304" s="4" t="n"/>
      <c r="K304" s="4" t="n"/>
    </row>
    <row r="305">
      <c r="A305" s="2" t="n">
        <v>303</v>
      </c>
      <c r="B305" s="2" t="inlineStr">
        <is>
          <t>34:42.0</t>
        </is>
      </c>
      <c r="C305" s="2" t="inlineStr">
        <is>
          <t>夜 밤에</t>
        </is>
      </c>
      <c r="D305" s="5" t="inlineStr">
        <is>
          <t>따라함</t>
        </is>
      </c>
      <c r="E305" s="5" t="inlineStr">
        <is>
          <t>夜？</t>
        </is>
      </c>
      <c r="F305" s="5" t="inlineStr">
        <is>
          <t>맞음</t>
        </is>
      </c>
      <c r="G305" s="5" t="inlineStr">
        <is>
          <t>따라 하고 옮김</t>
        </is>
      </c>
      <c r="H305" s="3" t="inlineStr">
        <is>
          <t>[시각추정] 一緒に夜の学校 探検しよ？ / 夜？ / 一緒に夜の学校 探検しよ？</t>
        </is>
      </c>
      <c r="I305" s="4" t="n"/>
      <c r="J305" s="4" t="n"/>
      <c r="K305" s="4" t="n"/>
    </row>
    <row r="306">
      <c r="A306" s="2" t="n">
        <v>304</v>
      </c>
      <c r="B306" s="2" t="inlineStr">
        <is>
          <t>34:48.0</t>
        </is>
      </c>
      <c r="C306" s="2" t="inlineStr">
        <is>
          <t>밤에 학교 탐험하자고</t>
        </is>
      </c>
      <c r="D306" s="5" t="inlineStr">
        <is>
          <t>옮김</t>
        </is>
      </c>
      <c r="E306" s="5" t="inlineStr">
        <is>
          <t>一緒に夜の学校 探検しよ？</t>
        </is>
      </c>
      <c r="F306" s="5" t="inlineStr">
        <is>
          <t>맞음</t>
        </is>
      </c>
      <c r="G306" s="5" t="inlineStr"/>
      <c r="H306" s="3" t="inlineStr">
        <is>
          <t>[시각추정] 一緒に夜の学校 探検しよ？ / 夜？ / 一緒に夜の学校 探検しよ？</t>
        </is>
      </c>
      <c r="I306" s="4" t="n"/>
      <c r="J306" s="4" t="n"/>
      <c r="K306" s="4" t="n"/>
    </row>
    <row r="307">
      <c r="A307" s="2" t="n">
        <v>305</v>
      </c>
      <c r="B307" s="2" t="inlineStr">
        <is>
          <t>34:52.0</t>
        </is>
      </c>
      <c r="C307" s="3" t="inlineStr">
        <is>
          <t>오..?</t>
        </is>
      </c>
      <c r="D307" s="3" t="inlineStr">
        <is>
          <t>소리·감탄</t>
        </is>
      </c>
      <c r="E307" s="2" t="inlineStr"/>
      <c r="F307" s="2" t="inlineStr"/>
      <c r="G307" s="2" t="inlineStr"/>
      <c r="H307" s="3" t="inlineStr">
        <is>
          <t>夜？ / 一緒に夜の学校 探検しよ？ / ん…！</t>
        </is>
      </c>
      <c r="I307" s="4" t="n"/>
      <c r="J307" s="4" t="n"/>
      <c r="K307" s="4" t="n"/>
    </row>
    <row r="308">
      <c r="A308" s="2" t="n">
        <v>306</v>
      </c>
      <c r="B308" s="2" t="inlineStr">
        <is>
          <t>34:56.0</t>
        </is>
      </c>
      <c r="C308" s="2" t="inlineStr">
        <is>
          <t>します</t>
        </is>
      </c>
      <c r="D308" s="5" t="inlineStr">
        <is>
          <t>따라함</t>
        </is>
      </c>
      <c r="E308" s="5" t="inlineStr">
        <is>
          <t>します…</t>
        </is>
      </c>
      <c r="F308" s="5" t="inlineStr">
        <is>
          <t>맞음</t>
        </is>
      </c>
      <c r="G308" s="5" t="inlineStr"/>
      <c r="H308" s="3" t="inlineStr">
        <is>
          <t>ん…！ / します… / （デンジ） 心はマキマさんのモンなのに!!</t>
        </is>
      </c>
      <c r="I308" s="4" t="n"/>
      <c r="J308" s="4" t="n"/>
      <c r="K308" s="4" t="n"/>
    </row>
    <row r="309">
      <c r="A309" s="2" t="n">
        <v>307</v>
      </c>
      <c r="B309" s="2" t="inlineStr">
        <is>
          <t>34:59.0</t>
        </is>
      </c>
      <c r="C309" s="2" t="inlineStr">
        <is>
          <t>하겠습니다</t>
        </is>
      </c>
      <c r="D309" s="5" t="inlineStr">
        <is>
          <t>옮김</t>
        </is>
      </c>
      <c r="E309" s="5" t="inlineStr">
        <is>
          <t>します…</t>
        </is>
      </c>
      <c r="F309" s="5" t="inlineStr">
        <is>
          <t>맞음</t>
        </is>
      </c>
      <c r="G309" s="5" t="inlineStr"/>
      <c r="H309" s="3" t="inlineStr">
        <is>
          <t>します… / （デンジ） 心はマキマさんのモンなのに!! / 体が言う事を聞かねえ!!</t>
        </is>
      </c>
      <c r="I309" s="4" t="n"/>
      <c r="J309" s="4" t="n"/>
      <c r="K309" s="4" t="n"/>
    </row>
    <row r="310">
      <c r="A310" s="2" t="n">
        <v>308</v>
      </c>
      <c r="B310" s="2" t="inlineStr">
        <is>
          <t>35:02.5</t>
        </is>
      </c>
      <c r="C310" s="2" t="inlineStr">
        <is>
          <t>몸이 말을 안 듣는다는 거지</t>
        </is>
      </c>
      <c r="D310" s="5" t="inlineStr">
        <is>
          <t>옮김</t>
        </is>
      </c>
      <c r="E310" s="5" t="inlineStr">
        <is>
          <t>体が言う事を聞かねえ!!</t>
        </is>
      </c>
      <c r="F310" s="5" t="inlineStr">
        <is>
          <t>맞음</t>
        </is>
      </c>
      <c r="G310" s="5" t="inlineStr"/>
      <c r="H310" s="3" t="inlineStr">
        <is>
          <t>します… / （デンジ） 心はマキマさんのモンなのに!! / 体が言う事を聞かねえ!!</t>
        </is>
      </c>
      <c r="I310" s="4" t="n"/>
      <c r="J310" s="4" t="n"/>
      <c r="K310" s="4" t="n"/>
    </row>
    <row r="311">
      <c r="A311" s="2" t="n">
        <v>309</v>
      </c>
      <c r="B311" s="2" t="inlineStr">
        <is>
          <t>35:21.6</t>
        </is>
      </c>
      <c r="C311" s="3" t="inlineStr">
        <is>
          <t>시작</t>
        </is>
      </c>
      <c r="D311" s="3" t="inlineStr">
        <is>
          <t>반응·혼잣말</t>
        </is>
      </c>
      <c r="E311" s="2" t="inlineStr"/>
      <c r="F311" s="2" t="inlineStr"/>
      <c r="G311" s="2" t="inlineStr"/>
      <c r="H311" s="3" t="inlineStr">
        <is>
          <t>します… / （デンジ） 心はマキマさんのモンなのに!! / 体が言う事を聞かねえ!!</t>
        </is>
      </c>
      <c r="I311" s="4" t="n"/>
      <c r="J311" s="4" t="n"/>
      <c r="K311" s="4" t="n"/>
    </row>
    <row r="312">
      <c r="A312" s="2" t="n">
        <v>310</v>
      </c>
      <c r="B312" s="2" t="inlineStr">
        <is>
          <t>35:24.9</t>
        </is>
      </c>
      <c r="C312" s="3" t="inlineStr">
        <is>
          <t>음</t>
        </is>
      </c>
      <c r="D312" s="3" t="inlineStr">
        <is>
          <t>소리·감탄</t>
        </is>
      </c>
      <c r="E312" s="2" t="inlineStr"/>
      <c r="F312" s="2" t="inlineStr"/>
      <c r="G312" s="2" t="inlineStr"/>
      <c r="H312" s="3" t="inlineStr">
        <is>
          <t>します… / （デンジ） 心はマキマさんのモンなのに!! / 体が言う事を聞かねえ!!</t>
        </is>
      </c>
      <c r="I312" s="4" t="n"/>
      <c r="J312" s="4" t="n"/>
      <c r="K312" s="4" t="n"/>
    </row>
    <row r="313">
      <c r="A313" s="2" t="n">
        <v>311</v>
      </c>
      <c r="B313" s="2" t="inlineStr">
        <is>
          <t>35:31.5</t>
        </is>
      </c>
      <c r="C313" s="2" t="inlineStr">
        <is>
          <t>조금 무서우니까 손잡아줄래</t>
        </is>
      </c>
      <c r="D313" s="5" t="inlineStr">
        <is>
          <t>옮김</t>
        </is>
      </c>
      <c r="E313" s="5" t="inlineStr">
        <is>
          <t>ねえ 少し怖いから 手繋いでいい？</t>
        </is>
      </c>
      <c r="F313" s="5" t="inlineStr">
        <is>
          <t>맞음</t>
        </is>
      </c>
      <c r="G313" s="5" t="inlineStr"/>
      <c r="H313" s="3" t="inlineStr">
        <is>
          <t>体が言う事を聞かねえ!! / ねえ 少し怖いから / 手繋いでいい？</t>
        </is>
      </c>
      <c r="I313" s="4" t="n"/>
      <c r="J313" s="4" t="n"/>
      <c r="K313" s="4" t="n"/>
    </row>
    <row r="314">
      <c r="A314" s="2" t="n">
        <v>312</v>
      </c>
      <c r="B314" s="2" t="inlineStr">
        <is>
          <t>35:35.0</t>
        </is>
      </c>
      <c r="C314" s="3" t="inlineStr">
        <is>
          <t>음</t>
        </is>
      </c>
      <c r="D314" s="3" t="inlineStr">
        <is>
          <t>소리·감탄</t>
        </is>
      </c>
      <c r="E314" s="2" t="inlineStr"/>
      <c r="F314" s="2" t="inlineStr"/>
      <c r="G314" s="2" t="inlineStr"/>
      <c r="H314" s="3" t="inlineStr">
        <is>
          <t>ねえ 少し怖いから / 手繋いでいい？</t>
        </is>
      </c>
      <c r="I314" s="4" t="n"/>
      <c r="J314" s="4" t="n"/>
      <c r="K314" s="4" t="n"/>
    </row>
    <row r="315">
      <c r="A315" s="2" t="n">
        <v>313</v>
      </c>
      <c r="B315" s="2" t="inlineStr">
        <is>
          <t>35:38.2</t>
        </is>
      </c>
      <c r="C315" s="3" t="inlineStr">
        <is>
          <t>조금 무서운 게 아닌 거 같은데</t>
        </is>
      </c>
      <c r="D315" s="3" t="inlineStr">
        <is>
          <t>반응·혼잣말</t>
        </is>
      </c>
      <c r="E315" s="2" t="inlineStr"/>
      <c r="F315" s="2" t="inlineStr"/>
      <c r="G315" s="2" t="inlineStr"/>
      <c r="H315" s="3" t="inlineStr">
        <is>
          <t>ねえ 少し怖いから / 手繋いでいい？</t>
        </is>
      </c>
      <c r="I315" s="4" t="n"/>
      <c r="J315" s="4" t="n"/>
      <c r="K315" s="4" t="n"/>
    </row>
    <row r="316">
      <c r="A316" s="2" t="n">
        <v>314</v>
      </c>
      <c r="B316" s="2" t="inlineStr">
        <is>
          <t>35:45.0</t>
        </is>
      </c>
      <c r="C316" s="2" t="inlineStr">
        <is>
          <t>マキマさん</t>
        </is>
      </c>
      <c r="D316" s="5" t="inlineStr">
        <is>
          <t>따라함</t>
        </is>
      </c>
      <c r="E316" s="5" t="inlineStr">
        <is>
          <t>（デンジ）マキマさん</t>
        </is>
      </c>
      <c r="F316" s="5" t="inlineStr">
        <is>
          <t>맞음</t>
        </is>
      </c>
      <c r="G316" s="5" t="inlineStr"/>
      <c r="H316" s="3" t="inlineStr">
        <is>
          <t>手繋いでいい？ / （デンジ）マキマさん / ホントは手なんて 繋ぎたくないんです</t>
        </is>
      </c>
      <c r="I316" s="4" t="n"/>
      <c r="J316" s="4" t="n"/>
      <c r="K316" s="4" t="n"/>
    </row>
    <row r="317">
      <c r="A317" s="2" t="n">
        <v>315</v>
      </c>
      <c r="B317" s="2" t="inlineStr">
        <is>
          <t>35:47.9</t>
        </is>
      </c>
      <c r="C317" s="2" t="inlineStr">
        <is>
          <t>손잡고 싶지 않았습니다</t>
        </is>
      </c>
      <c r="D317" s="7" t="inlineStr">
        <is>
          <t>옮김</t>
        </is>
      </c>
      <c r="E317" s="7" t="inlineStr">
        <is>
          <t>ホントは手なんて 繋ぎたくないんです</t>
        </is>
      </c>
      <c r="F317" s="7" t="inlineStr">
        <is>
          <t>대체로 맞음</t>
        </is>
      </c>
      <c r="G317" s="7" t="inlineStr"/>
      <c r="H317" s="3" t="inlineStr">
        <is>
          <t>手繋いでいい？ / （デンジ）マキマさん / ホントは手なんて 繋ぎたくないんです</t>
        </is>
      </c>
      <c r="I317" s="4" t="n"/>
      <c r="J317" s="4" t="n"/>
      <c r="K317" s="4" t="n"/>
    </row>
    <row r="318">
      <c r="A318" s="2" t="n">
        <v>316</v>
      </c>
      <c r="B318" s="2" t="inlineStr">
        <is>
          <t>35:55.8</t>
        </is>
      </c>
      <c r="C318" s="2" t="inlineStr">
        <is>
          <t>몸이 제멋대로</t>
        </is>
      </c>
      <c r="D318" s="5" t="inlineStr">
        <is>
          <t>옮김</t>
        </is>
      </c>
      <c r="E318" s="5" t="inlineStr">
        <is>
          <t>でも… 体が勝手に…</t>
        </is>
      </c>
      <c r="F318" s="5" t="inlineStr">
        <is>
          <t>맞음</t>
        </is>
      </c>
      <c r="G318" s="5" t="inlineStr"/>
      <c r="H318" s="3" t="inlineStr">
        <is>
          <t>ホントは手なんて 繋ぎたくないんです / でも… 体が勝手に… / ふふっ</t>
        </is>
      </c>
      <c r="I318" s="4" t="n"/>
      <c r="J318" s="4" t="n"/>
      <c r="K318" s="4" t="n"/>
    </row>
    <row r="319">
      <c r="A319" s="2" t="n">
        <v>317</v>
      </c>
      <c r="B319" s="2" t="inlineStr">
        <is>
          <t>36:02.0</t>
        </is>
      </c>
      <c r="C319" s="2" t="inlineStr">
        <is>
          <t>ニ</t>
        </is>
      </c>
      <c r="D319" s="5" t="inlineStr">
        <is>
          <t>따라함</t>
        </is>
      </c>
      <c r="E319" s="5" t="inlineStr">
        <is>
          <t>ハイハイ！　２！　２！</t>
        </is>
      </c>
      <c r="F319" s="5" t="inlineStr">
        <is>
          <t>맞음</t>
        </is>
      </c>
      <c r="G319" s="5" t="inlineStr"/>
      <c r="H319" s="3" t="inlineStr">
        <is>
          <t>では この問題解ける人！ / （デンジ）はい / ハイハイ！　２！　２！</t>
        </is>
      </c>
      <c r="I319" s="4" t="n"/>
      <c r="J319" s="4" t="n"/>
      <c r="K319" s="4" t="n"/>
    </row>
    <row r="320">
      <c r="A320" s="2" t="n">
        <v>318</v>
      </c>
      <c r="B320" s="2" t="inlineStr">
        <is>
          <t>36:10.0</t>
        </is>
      </c>
      <c r="C320" s="2" t="inlineStr">
        <is>
          <t>ビクエス</t>
        </is>
      </c>
      <c r="D320" s="7" t="inlineStr">
        <is>
          <t>읽기</t>
        </is>
      </c>
      <c r="E320" s="7" t="inlineStr">
        <is>
          <t>화면 영어 (この英語は なんと読むでしょう)</t>
        </is>
      </c>
      <c r="F320" s="7" t="inlineStr">
        <is>
          <t>대체로 맞음</t>
        </is>
      </c>
      <c r="G320" s="7" t="inlineStr"/>
      <c r="H320" s="3" t="inlineStr">
        <is>
          <t>（レゼ）正解！　天才！ / この英語は なんと読むでしょう！ / ハイ！　知らねえ！</t>
        </is>
      </c>
      <c r="I320" s="4" t="n"/>
      <c r="J320" s="4" t="n"/>
      <c r="K320" s="4" t="n"/>
    </row>
    <row r="321">
      <c r="A321" s="2" t="n">
        <v>319</v>
      </c>
      <c r="B321" s="2" t="inlineStr">
        <is>
          <t>36:14.2</t>
        </is>
      </c>
      <c r="C321" s="2" t="inlineStr">
        <is>
          <t>デカケツ</t>
        </is>
      </c>
      <c r="D321" s="5" t="inlineStr">
        <is>
          <t>따라함</t>
        </is>
      </c>
      <c r="E321" s="5" t="inlineStr">
        <is>
          <t>正解はデカケツです！</t>
        </is>
      </c>
      <c r="F321" s="5" t="inlineStr">
        <is>
          <t>맞음</t>
        </is>
      </c>
      <c r="G321" s="5" t="inlineStr"/>
      <c r="H321" s="3" t="inlineStr">
        <is>
          <t>ハイ！　知らねえ！ / 正解はデカケツです！ / （デンジ）エロ女！</t>
        </is>
      </c>
      <c r="I321" s="4" t="n"/>
      <c r="J321" s="4" t="n"/>
      <c r="K321" s="4" t="n"/>
    </row>
    <row r="322">
      <c r="A322" s="2" t="n">
        <v>320</v>
      </c>
      <c r="B322" s="2" t="inlineStr">
        <is>
          <t>36:22.5</t>
        </is>
      </c>
      <c r="C322" s="2" t="inlineStr">
        <is>
          <t>학교가 이런 느낌이구나.</t>
        </is>
      </c>
      <c r="D322" s="5" t="inlineStr">
        <is>
          <t>옮김</t>
        </is>
      </c>
      <c r="E322" s="5" t="inlineStr">
        <is>
          <t>はあ～… 学校って こんな感じなんだな</t>
        </is>
      </c>
      <c r="F322" s="5" t="inlineStr">
        <is>
          <t>맞음</t>
        </is>
      </c>
      <c r="G322" s="5" t="inlineStr"/>
      <c r="H322" s="3" t="inlineStr">
        <is>
          <t>（デンジ）エロ女！ / はあ～… 学校って こんな感じなんだな / だいたい掴(つか)めてきたぜ</t>
        </is>
      </c>
      <c r="I322" s="4" t="n"/>
      <c r="J322" s="4" t="n"/>
      <c r="K322" s="4" t="n"/>
    </row>
    <row r="323">
      <c r="A323" s="2" t="n">
        <v>321</v>
      </c>
      <c r="B323" s="2" t="inlineStr">
        <is>
          <t>36:28.7</t>
        </is>
      </c>
      <c r="C323" s="2" t="inlineStr">
        <is>
          <t>小学校, 小学校</t>
        </is>
      </c>
      <c r="D323" s="5" t="inlineStr">
        <is>
          <t>따라함</t>
        </is>
      </c>
      <c r="E323" s="5" t="inlineStr">
        <is>
          <t>（レゼ）デンジ君って 本当に小学校も行ってないの？</t>
        </is>
      </c>
      <c r="F323" s="5" t="inlineStr">
        <is>
          <t>맞음</t>
        </is>
      </c>
      <c r="G323" s="5" t="inlineStr">
        <is>
          <t>小学校만</t>
        </is>
      </c>
      <c r="H323" s="3" t="inlineStr">
        <is>
          <t>はあ～… 学校って こんな感じなんだな / だいたい掴(つか)めてきたぜ / （レゼ）デンジ君って 本当に小学校も行ってないの？</t>
        </is>
      </c>
      <c r="I323" s="4" t="n"/>
      <c r="J323" s="4" t="n"/>
      <c r="K323" s="4" t="n"/>
    </row>
    <row r="324">
      <c r="A324" s="2" t="n">
        <v>322</v>
      </c>
      <c r="B324" s="2" t="inlineStr">
        <is>
          <t>36:31.0</t>
        </is>
      </c>
      <c r="C324" s="2" t="inlineStr">
        <is>
          <t>초등학교도 안 갔냐?</t>
        </is>
      </c>
      <c r="D324" s="5" t="inlineStr">
        <is>
          <t>옮김</t>
        </is>
      </c>
      <c r="E324" s="5" t="inlineStr">
        <is>
          <t>（レゼ）デンジ君って 本当に小学校も行ってないの？</t>
        </is>
      </c>
      <c r="F324" s="5" t="inlineStr">
        <is>
          <t>맞음</t>
        </is>
      </c>
      <c r="G324" s="5" t="inlineStr"/>
      <c r="H324" s="3" t="inlineStr">
        <is>
          <t>はあ～… 学校って こんな感じなんだな / だいたい掴(つか)めてきたぜ / （レゼ）デンジ君って 本当に小学校も行ってないの？</t>
        </is>
      </c>
      <c r="I324" s="4" t="n"/>
      <c r="J324" s="4" t="n"/>
      <c r="K324" s="4" t="n"/>
    </row>
    <row r="325">
      <c r="A325" s="2" t="n">
        <v>323</v>
      </c>
      <c r="B325" s="2" t="inlineStr">
        <is>
          <t>36:34.0</t>
        </is>
      </c>
      <c r="C325" s="3" t="inlineStr">
        <is>
          <t>어</t>
        </is>
      </c>
      <c r="D325" s="3" t="inlineStr">
        <is>
          <t>소리·감탄</t>
        </is>
      </c>
      <c r="E325" s="2" t="inlineStr"/>
      <c r="F325" s="2" t="inlineStr"/>
      <c r="G325" s="2" t="inlineStr"/>
      <c r="H325" s="3" t="inlineStr">
        <is>
          <t>（レゼ）デンジ君って 本当に小学校も行ってないの？ / （デンジ）あ？　うん / それってさ… なんか…</t>
        </is>
      </c>
      <c r="I325" s="4" t="n"/>
      <c r="J325" s="4" t="n"/>
      <c r="K325" s="4" t="n"/>
    </row>
    <row r="326">
      <c r="A326" s="2" t="n">
        <v>324</v>
      </c>
      <c r="B326" s="2" t="inlineStr">
        <is>
          <t>36:40.0</t>
        </is>
      </c>
      <c r="C326" s="2" t="inlineStr">
        <is>
          <t>뭔가 안 되지 않아? だめ?</t>
        </is>
      </c>
      <c r="D326" s="5" t="inlineStr">
        <is>
          <t>옮김</t>
        </is>
      </c>
      <c r="E326" s="5" t="inlineStr">
        <is>
          <t>なんか… ダメじゃない？</t>
        </is>
      </c>
      <c r="F326" s="5" t="inlineStr">
        <is>
          <t>맞음</t>
        </is>
      </c>
      <c r="G326" s="5" t="inlineStr"/>
      <c r="H326" s="3" t="inlineStr">
        <is>
          <t>それってさ… なんか… / なんか… ダメじゃない？ / ダメ？</t>
        </is>
      </c>
      <c r="I326" s="4" t="n"/>
      <c r="J326" s="4" t="n"/>
      <c r="K326" s="4" t="n"/>
    </row>
    <row r="327">
      <c r="A327" s="2" t="n">
        <v>325</v>
      </c>
      <c r="B327" s="2" t="inlineStr">
        <is>
          <t>36:47.0</t>
        </is>
      </c>
      <c r="C327" s="2" t="inlineStr">
        <is>
          <t>이상해.</t>
        </is>
      </c>
      <c r="D327" s="5" t="inlineStr">
        <is>
          <t>옮김</t>
        </is>
      </c>
      <c r="E327" s="5" t="inlineStr">
        <is>
          <t>（レゼ） ダメっていうか… おかしい</t>
        </is>
      </c>
      <c r="F327" s="5" t="inlineStr">
        <is>
          <t>맞음</t>
        </is>
      </c>
      <c r="G327" s="5" t="inlineStr"/>
      <c r="H327" s="3" t="inlineStr">
        <is>
          <t>なんか… ダメじゃない？ / ダメ？ / （レゼ） ダメっていうか… おかしい</t>
        </is>
      </c>
      <c r="I327" s="4" t="n"/>
      <c r="J327" s="4" t="n"/>
      <c r="K327" s="4" t="n"/>
    </row>
    <row r="328">
      <c r="A328" s="2" t="n">
        <v>326</v>
      </c>
      <c r="B328" s="2" t="inlineStr">
        <is>
          <t>36:52.6</t>
        </is>
      </c>
      <c r="C328" s="2" t="inlineStr">
        <is>
          <t>열여섯 살인데 아직도 애라고</t>
        </is>
      </c>
      <c r="D328" s="5" t="inlineStr">
        <is>
          <t>옮김</t>
        </is>
      </c>
      <c r="E328" s="5" t="inlineStr">
        <is>
          <t>16歳ってまだ全然 子供だよ？</t>
        </is>
      </c>
      <c r="F328" s="5" t="inlineStr">
        <is>
          <t>맞음</t>
        </is>
      </c>
      <c r="G328" s="5" t="inlineStr"/>
      <c r="H328" s="3" t="inlineStr">
        <is>
          <t>（レゼ） ダメっていうか… おかしい / 16歳ってまだ全然 子供だよ？ / 普通は受験勉強して 部活がんばって</t>
        </is>
      </c>
      <c r="I328" s="4" t="n"/>
      <c r="J328" s="4" t="n"/>
      <c r="K328" s="4" t="n"/>
    </row>
    <row r="329">
      <c r="A329" s="2" t="n">
        <v>327</v>
      </c>
      <c r="B329" s="2" t="inlineStr">
        <is>
          <t>37:10.3</t>
        </is>
      </c>
      <c r="C329" s="2" t="inlineStr">
        <is>
          <t>공안이라는 장소가 정말 좋은 장소냐고.</t>
        </is>
      </c>
      <c r="D329" s="5" t="inlineStr">
        <is>
          <t>옮김</t>
        </is>
      </c>
      <c r="E329" s="5" t="inlineStr">
        <is>
          <t>今いる公安っていう場所は— 本当に良い場所なの？</t>
        </is>
      </c>
      <c r="F329" s="5" t="inlineStr">
        <is>
          <t>맞음</t>
        </is>
      </c>
      <c r="G329" s="5" t="inlineStr"/>
      <c r="H329" s="3" t="inlineStr">
        <is>
          <t>今いる公安っていう場所は— / 本当に良い場所なの？ / [추정] んー　まあ 凄(すげ)ぇいいトコだぜ？</t>
        </is>
      </c>
      <c r="I329" s="4" t="n"/>
      <c r="J329" s="4" t="n"/>
      <c r="K329" s="4" t="n"/>
    </row>
    <row r="330">
      <c r="A330" s="2" t="n">
        <v>328</v>
      </c>
      <c r="B330" s="2" t="inlineStr">
        <is>
          <t>37:14.5</t>
        </is>
      </c>
      <c r="C330" s="3" t="inlineStr">
        <is>
          <t>원래는</t>
        </is>
      </c>
      <c r="D330" s="3" t="inlineStr">
        <is>
          <t>반응·혼잣말</t>
        </is>
      </c>
      <c r="E330" s="2" t="inlineStr"/>
      <c r="F330" s="2" t="inlineStr"/>
      <c r="G330" s="2" t="inlineStr"/>
      <c r="H330" s="3" t="inlineStr">
        <is>
          <t>今いる公安っていう場所は— / 本当に良い場所なの？ / [추정] んー　まあ 凄(すげ)ぇいいトコだぜ？</t>
        </is>
      </c>
      <c r="I330" s="4" t="n"/>
      <c r="J330" s="4" t="n"/>
      <c r="K330" s="4" t="n"/>
    </row>
    <row r="331">
      <c r="A331" s="2" t="n">
        <v>329</v>
      </c>
      <c r="B331" s="2" t="inlineStr">
        <is>
          <t>37:16.1</t>
        </is>
      </c>
      <c r="C331" s="2" t="inlineStr">
        <is>
          <t>학생 일반 학생처럼 이렇게 평범하게 보내야 되는데</t>
        </is>
      </c>
      <c r="D331" s="7" t="inlineStr">
        <is>
          <t>옮김</t>
        </is>
      </c>
      <c r="E331" s="7" t="inlineStr">
        <is>
          <t>普通は受験勉強して 部活がんばって</t>
        </is>
      </c>
      <c r="F331" s="7" t="inlineStr">
        <is>
          <t>대체로 맞음</t>
        </is>
      </c>
      <c r="G331" s="7" t="inlineStr"/>
      <c r="H331" s="3" t="inlineStr">
        <is>
          <t>今いる公安っていう場所は— / 本当に良い場所なの？ / [추정] んー　まあ 凄(すげ)ぇいいトコだぜ？</t>
        </is>
      </c>
      <c r="I331" s="4" t="n"/>
      <c r="J331" s="4" t="n"/>
      <c r="K331" s="4" t="n"/>
    </row>
    <row r="332">
      <c r="A332" s="2" t="n">
        <v>330</v>
      </c>
      <c r="B332" s="2" t="inlineStr">
        <is>
          <t>37:21.7</t>
        </is>
      </c>
      <c r="C332" s="3" t="inlineStr">
        <is>
          <t>아</t>
        </is>
      </c>
      <c r="D332" s="3" t="inlineStr">
        <is>
          <t>소리·감탄</t>
        </is>
      </c>
      <c r="E332" s="2" t="inlineStr"/>
      <c r="F332" s="2" t="inlineStr"/>
      <c r="G332" s="2" t="inlineStr"/>
      <c r="H332" s="3" t="inlineStr">
        <is>
          <t>本当に良い場所なの？ / [추정] んー　まあ 凄(すげ)ぇいいトコだぜ？ / １日３回食えるし</t>
        </is>
      </c>
      <c r="I332" s="4" t="n"/>
      <c r="J332" s="4" t="n"/>
      <c r="K332" s="4" t="n"/>
    </row>
    <row r="333">
      <c r="A333" s="2" t="n">
        <v>331</v>
      </c>
      <c r="B333" s="2" t="inlineStr">
        <is>
          <t>37:36.0</t>
        </is>
      </c>
      <c r="C333" s="2" t="inlineStr">
        <is>
          <t>당연한 거라고</t>
        </is>
      </c>
      <c r="D333" s="5" t="inlineStr">
        <is>
          <t>옮김</t>
        </is>
      </c>
      <c r="E333" s="5" t="inlineStr">
        <is>
          <t>当たり前の事だよ？</t>
        </is>
      </c>
      <c r="F333" s="5" t="inlineStr">
        <is>
          <t>맞음</t>
        </is>
      </c>
      <c r="G333" s="5" t="inlineStr"/>
      <c r="H333" s="3" t="inlineStr">
        <is>
          <t>（レゼ）それって 日本人としての最低限の… / 当たり前の事だよ？ / う～ん…</t>
        </is>
      </c>
      <c r="I333" s="4" t="n"/>
      <c r="J333" s="4" t="n"/>
      <c r="K333" s="4" t="n"/>
    </row>
    <row r="334">
      <c r="A334" s="2" t="n">
        <v>332</v>
      </c>
      <c r="B334" s="2" t="inlineStr">
        <is>
          <t>37:44.0</t>
        </is>
      </c>
      <c r="C334" s="2" t="inlineStr">
        <is>
          <t>생각을 너무 많이 해서 頭が</t>
        </is>
      </c>
      <c r="D334" s="7" t="inlineStr">
        <is>
          <t>옮김</t>
        </is>
      </c>
      <c r="E334" s="7" t="inlineStr">
        <is>
          <t>考えすぎて 頭熱くなってきた</t>
        </is>
      </c>
      <c r="F334" s="7" t="inlineStr">
        <is>
          <t>대체로 맞음</t>
        </is>
      </c>
      <c r="G334" s="7" t="inlineStr">
        <is>
          <t>頭熱く 부분은 따라만 함</t>
        </is>
      </c>
      <c r="H334" s="3" t="inlineStr">
        <is>
          <t>当たり前の事だよ？ / う～ん… / 考えすぎて 頭熱くなってきた</t>
        </is>
      </c>
      <c r="I334" s="4" t="n"/>
      <c r="J334" s="4" t="n"/>
      <c r="K334" s="4" t="n"/>
    </row>
    <row r="335">
      <c r="A335" s="2" t="n">
        <v>333</v>
      </c>
      <c r="B335" s="2" t="inlineStr">
        <is>
          <t>37:48.0</t>
        </is>
      </c>
      <c r="C335" s="2" t="inlineStr">
        <is>
          <t>어 복잡하다?</t>
        </is>
      </c>
      <c r="D335" s="10" t="inlineStr">
        <is>
          <t>추측</t>
        </is>
      </c>
      <c r="E335" s="10" t="inlineStr">
        <is>
          <t>考えすぎて 頭熱くなってきた</t>
        </is>
      </c>
      <c r="F335" s="10" t="inlineStr">
        <is>
          <t>조금 맞음</t>
        </is>
      </c>
      <c r="G335" s="10" t="inlineStr">
        <is>
          <t>머리가 뜨거워졌다 → 복잡하다</t>
        </is>
      </c>
      <c r="H335" s="3" t="inlineStr">
        <is>
          <t>当たり前の事だよ？ / う～ん… / 考えすぎて 頭熱くなってきた</t>
        </is>
      </c>
      <c r="I335" s="4" t="n"/>
      <c r="J335" s="4" t="n"/>
      <c r="K335" s="4" t="n"/>
    </row>
    <row r="336">
      <c r="A336" s="2" t="n">
        <v>334</v>
      </c>
      <c r="B336" s="2" t="inlineStr">
        <is>
          <t>37:57.0</t>
        </is>
      </c>
      <c r="C336" s="2" t="inlineStr">
        <is>
          <t>少し冷やしますか</t>
        </is>
      </c>
      <c r="D336" s="5" t="inlineStr">
        <is>
          <t>따라함</t>
        </is>
      </c>
      <c r="E336" s="5" t="inlineStr">
        <is>
          <t>少し冷やしますか</t>
        </is>
      </c>
      <c r="F336" s="5" t="inlineStr">
        <is>
          <t>맞음</t>
        </is>
      </c>
      <c r="G336" s="5" t="inlineStr"/>
      <c r="H336" s="3" t="inlineStr">
        <is>
          <t>考えすぎて 頭熱くなってきた / （レゼ）じゃあ / 少し冷やしますか</t>
        </is>
      </c>
      <c r="I336" s="4" t="n"/>
      <c r="J336" s="4" t="n"/>
      <c r="K336" s="4" t="n"/>
    </row>
    <row r="337">
      <c r="A337" s="2" t="n">
        <v>335</v>
      </c>
      <c r="B337" s="2" t="inlineStr">
        <is>
          <t>37:59.8</t>
        </is>
      </c>
      <c r="C337" s="3" t="inlineStr">
        <is>
          <t>冷やし</t>
        </is>
      </c>
      <c r="D337" s="3" t="inlineStr">
        <is>
          <t>반응·혼잣말</t>
        </is>
      </c>
      <c r="E337" s="2" t="inlineStr"/>
      <c r="F337" s="2" t="inlineStr"/>
      <c r="G337" s="2" t="inlineStr"/>
      <c r="H337" s="3" t="inlineStr">
        <is>
          <t>考えすぎて 頭熱くなってきた / （レゼ）じゃあ / 少し冷やしますか</t>
        </is>
      </c>
      <c r="I337" s="4" t="n"/>
      <c r="J337" s="4" t="n"/>
      <c r="K337" s="4" t="n"/>
    </row>
    <row r="338">
      <c r="A338" s="2" t="n">
        <v>336</v>
      </c>
      <c r="B338" s="2" t="inlineStr">
        <is>
          <t>38:01.7</t>
        </is>
      </c>
      <c r="C338" s="2" t="inlineStr">
        <is>
          <t>冷やし가 덜 됐다의 冷やし</t>
        </is>
      </c>
      <c r="D338" s="5" t="inlineStr">
        <is>
          <t>추측</t>
        </is>
      </c>
      <c r="E338" s="5" t="inlineStr">
        <is>
          <t>少し冷やしますか</t>
        </is>
      </c>
      <c r="F338" s="5" t="inlineStr">
        <is>
          <t>맞음</t>
        </is>
      </c>
      <c r="G338" s="5" t="inlineStr">
        <is>
          <t>한국어에 들어온 일본어 히야시</t>
        </is>
      </c>
      <c r="H338" s="3" t="inlineStr">
        <is>
          <t>考えすぎて 頭熱くなってきた / （レゼ）じゃあ / 少し冷やしますか</t>
        </is>
      </c>
      <c r="I338" s="4" t="n"/>
      <c r="J338" s="4" t="n"/>
      <c r="K338" s="4" t="n"/>
    </row>
    <row r="339">
      <c r="A339" s="2" t="n">
        <v>337</v>
      </c>
      <c r="B339" s="2" t="inlineStr">
        <is>
          <t>38:05.0</t>
        </is>
      </c>
      <c r="C339" s="2" t="inlineStr">
        <is>
          <t>어 그니까 차게 하자는 말이구만</t>
        </is>
      </c>
      <c r="D339" s="5" t="inlineStr">
        <is>
          <t>추측</t>
        </is>
      </c>
      <c r="E339" s="5" t="inlineStr">
        <is>
          <t>少し冷やしますか</t>
        </is>
      </c>
      <c r="F339" s="5" t="inlineStr">
        <is>
          <t>맞음</t>
        </is>
      </c>
      <c r="G339" s="5" t="inlineStr">
        <is>
          <t>차게 하자</t>
        </is>
      </c>
      <c r="H339" s="3" t="inlineStr">
        <is>
          <t>考えすぎて 頭熱くなってきた / （レゼ）じゃあ / 少し冷やしますか</t>
        </is>
      </c>
      <c r="I339" s="4" t="n"/>
      <c r="J339" s="4" t="n"/>
      <c r="K339" s="4" t="n"/>
    </row>
    <row r="340">
      <c r="A340" s="2" t="n">
        <v>338</v>
      </c>
      <c r="B340" s="2" t="inlineStr">
        <is>
          <t>38:08.4</t>
        </is>
      </c>
      <c r="C340" s="3" t="inlineStr">
        <is>
          <t>오케이.</t>
        </is>
      </c>
      <c r="D340" s="3" t="inlineStr">
        <is>
          <t>반응·혼잣말</t>
        </is>
      </c>
      <c r="E340" s="2" t="inlineStr"/>
      <c r="F340" s="2" t="inlineStr"/>
      <c r="G340" s="2" t="inlineStr"/>
      <c r="H340" s="3" t="inlineStr">
        <is>
          <t>考えすぎて 頭熱くなってきた / （レゼ）じゃあ / 少し冷やしますか</t>
        </is>
      </c>
      <c r="I340" s="4" t="n"/>
      <c r="J340" s="4" t="n"/>
      <c r="K340" s="4" t="n"/>
    </row>
    <row r="341">
      <c r="A341" s="2" t="n">
        <v>339</v>
      </c>
      <c r="B341" s="2" t="inlineStr">
        <is>
          <t>38:10.0</t>
        </is>
      </c>
      <c r="C341" s="2" t="inlineStr">
        <is>
          <t>식혀보자.</t>
        </is>
      </c>
      <c r="D341" s="5" t="inlineStr">
        <is>
          <t>옮김</t>
        </is>
      </c>
      <c r="E341" s="5" t="inlineStr">
        <is>
          <t>少し冷やしますか</t>
        </is>
      </c>
      <c r="F341" s="5" t="inlineStr">
        <is>
          <t>맞음</t>
        </is>
      </c>
      <c r="G341" s="5" t="inlineStr"/>
      <c r="H341" s="3" t="inlineStr">
        <is>
          <t>考えすぎて 頭熱くなってきた / （レゼ）じゃあ / 少し冷やしますか</t>
        </is>
      </c>
      <c r="I341" s="4" t="n"/>
      <c r="J341" s="4" t="n"/>
      <c r="K341" s="4" t="n"/>
    </row>
    <row r="342">
      <c r="A342" s="2" t="n">
        <v>340</v>
      </c>
      <c r="B342" s="2" t="inlineStr">
        <is>
          <t>38:13.0</t>
        </is>
      </c>
      <c r="C342" s="3" t="inlineStr">
        <is>
          <t>어...</t>
        </is>
      </c>
      <c r="D342" s="3" t="inlineStr">
        <is>
          <t>소리·감탄</t>
        </is>
      </c>
      <c r="E342" s="2" t="inlineStr"/>
      <c r="F342" s="2" t="inlineStr"/>
      <c r="G342" s="2" t="inlineStr"/>
      <c r="H342" s="3" t="inlineStr">
        <is>
          <t>（レゼ）じゃあ / 少し冷やしますか</t>
        </is>
      </c>
      <c r="I342" s="4" t="n"/>
      <c r="J342" s="4" t="n"/>
      <c r="K342" s="4" t="n"/>
    </row>
    <row r="343">
      <c r="A343" s="2" t="n">
        <v>341</v>
      </c>
      <c r="B343" s="2" t="inlineStr">
        <is>
          <t>38:32.0</t>
        </is>
      </c>
      <c r="C343" s="2" t="inlineStr">
        <is>
          <t>몰라.</t>
        </is>
      </c>
      <c r="D343" s="6" t="inlineStr">
        <is>
          <t>못알아들음</t>
        </is>
      </c>
      <c r="E343" s="6" t="inlineStr">
        <is>
          <t>（デンジ） 俺 あんま泳げないんだよね</t>
        </is>
      </c>
      <c r="F343" s="6" t="inlineStr">
        <is>
          <t>못 알아들음</t>
        </is>
      </c>
      <c r="G343" s="6" t="inlineStr"/>
      <c r="H343" s="3" t="inlineStr">
        <is>
          <t>（レゼ）はははっ / 冷た～い！ / （デンジ） 俺 あんま泳げないんだよね</t>
        </is>
      </c>
      <c r="I343" s="4" t="n"/>
      <c r="J343" s="4" t="n"/>
      <c r="K343" s="4" t="n"/>
    </row>
    <row r="344">
      <c r="A344" s="2" t="n">
        <v>342</v>
      </c>
      <c r="B344" s="2" t="inlineStr">
        <is>
          <t>38:43.0</t>
        </is>
      </c>
      <c r="C344" s="2" t="inlineStr">
        <is>
          <t>教えて, お... 아 아무튼 뭐, 알려줄게.</t>
        </is>
      </c>
      <c r="D344" s="7" t="inlineStr">
        <is>
          <t>따라함</t>
        </is>
      </c>
      <c r="E344" s="7" t="inlineStr">
        <is>
          <t>じゃあ教えてあげる 泳ぎ方</t>
        </is>
      </c>
      <c r="F344" s="7" t="inlineStr">
        <is>
          <t>대체로 맞음</t>
        </is>
      </c>
      <c r="G344" s="7" t="inlineStr">
        <is>
          <t>泳ぎ方는 못 잡음</t>
        </is>
      </c>
      <c r="H344" s="3" t="inlineStr">
        <is>
          <t>（デンジ） 俺 あんま泳げないんだよね / ふーん / じゃあ教えてあげる 泳ぎ方</t>
        </is>
      </c>
      <c r="I344" s="4" t="n"/>
      <c r="J344" s="4" t="n"/>
      <c r="K344" s="4" t="n"/>
    </row>
    <row r="345">
      <c r="A345" s="2" t="n">
        <v>343</v>
      </c>
      <c r="B345" s="2" t="inlineStr">
        <is>
          <t>38:50.0</t>
        </is>
      </c>
      <c r="C345" s="2" t="inlineStr">
        <is>
          <t>수영인가? 수영이 아닌가? 아 수영인가보다.</t>
        </is>
      </c>
      <c r="D345" s="5" t="inlineStr">
        <is>
          <t>추측</t>
        </is>
      </c>
      <c r="E345" s="5" t="inlineStr">
        <is>
          <t>じゃあ教えてあげる 泳ぎ方</t>
        </is>
      </c>
      <c r="F345" s="5" t="inlineStr">
        <is>
          <t>맞음</t>
        </is>
      </c>
      <c r="G345" s="5" t="inlineStr">
        <is>
          <t>泳ぎ方 → 수영</t>
        </is>
      </c>
      <c r="H345" s="3" t="inlineStr">
        <is>
          <t>じゃあ教えてあげる 泳ぎ方 / ん？ / えっ　え!?</t>
        </is>
      </c>
      <c r="I345" s="4" t="n"/>
      <c r="J345" s="4" t="n"/>
      <c r="K345" s="4" t="n"/>
    </row>
    <row r="346">
      <c r="A346" s="2" t="n">
        <v>344</v>
      </c>
      <c r="B346" s="2" t="inlineStr">
        <is>
          <t>39:01.0</t>
        </is>
      </c>
      <c r="C346" s="2" t="inlineStr">
        <is>
          <t>脱ぎなよ</t>
        </is>
      </c>
      <c r="D346" s="5" t="inlineStr">
        <is>
          <t>따라함</t>
        </is>
      </c>
      <c r="E346" s="5" t="inlineStr">
        <is>
          <t>脱ぎなよ 服着てると沈んじゃうよ</t>
        </is>
      </c>
      <c r="F346" s="5" t="inlineStr">
        <is>
          <t>맞음</t>
        </is>
      </c>
      <c r="G346" s="5" t="inlineStr"/>
      <c r="H346" s="3" t="inlineStr">
        <is>
          <t>え!? / 脱ぎなよ 服着てると沈んじゃうよ / 脱ぎなよ 服着てると沈んじゃうよ</t>
        </is>
      </c>
      <c r="I346" s="4" t="n"/>
      <c r="J346" s="4" t="n"/>
      <c r="K346" s="4" t="n"/>
    </row>
    <row r="347">
      <c r="A347" s="2" t="n">
        <v>345</v>
      </c>
      <c r="B347" s="2" t="inlineStr">
        <is>
          <t>39:04.0</t>
        </is>
      </c>
      <c r="C347" s="2" t="inlineStr">
        <is>
          <t>沈んじゃうよ?</t>
        </is>
      </c>
      <c r="D347" s="5" t="inlineStr">
        <is>
          <t>따라함</t>
        </is>
      </c>
      <c r="E347" s="5" t="inlineStr">
        <is>
          <t>脱ぎなよ 服着てると沈んじゃうよ</t>
        </is>
      </c>
      <c r="F347" s="5" t="inlineStr">
        <is>
          <t>맞음</t>
        </is>
      </c>
      <c r="G347" s="5" t="inlineStr"/>
      <c r="H347" s="3" t="inlineStr">
        <is>
          <t>え!? / 脱ぎなよ 服着てると沈んじゃうよ / 脱ぎなよ 服着てると沈んじゃうよ</t>
        </is>
      </c>
      <c r="I347" s="4" t="n"/>
      <c r="J347" s="4" t="n"/>
      <c r="K347" s="4" t="n"/>
    </row>
    <row r="348">
      <c r="A348" s="2" t="n">
        <v>346</v>
      </c>
      <c r="B348" s="2" t="inlineStr">
        <is>
          <t>39:05.2</t>
        </is>
      </c>
      <c r="C348" s="2" t="inlineStr">
        <is>
          <t>뭔지 몰라</t>
        </is>
      </c>
      <c r="D348" s="6" t="inlineStr">
        <is>
          <t>못알아들음</t>
        </is>
      </c>
      <c r="E348" s="6" t="inlineStr">
        <is>
          <t>脱ぎなよ 服着てると沈んじゃうよ</t>
        </is>
      </c>
      <c r="F348" s="6" t="inlineStr">
        <is>
          <t>못 알아들음</t>
        </is>
      </c>
      <c r="G348" s="6" t="inlineStr">
        <is>
          <t>沈む</t>
        </is>
      </c>
      <c r="H348" s="3" t="inlineStr">
        <is>
          <t>え!? / 脱ぎなよ 服着てると沈んじゃうよ / 脱ぎなよ 服着てると沈んじゃうよ</t>
        </is>
      </c>
      <c r="I348" s="4" t="n"/>
      <c r="J348" s="4" t="n"/>
      <c r="K348" s="4" t="n"/>
    </row>
    <row r="349">
      <c r="A349" s="2" t="n">
        <v>347</v>
      </c>
      <c r="B349" s="2" t="inlineStr">
        <is>
          <t>39:07.6</t>
        </is>
      </c>
      <c r="C349" s="2" t="inlineStr">
        <is>
          <t>エッチすぎじゃないですか</t>
        </is>
      </c>
      <c r="D349" s="5" t="inlineStr">
        <is>
          <t>따라함</t>
        </is>
      </c>
      <c r="E349" s="5" t="inlineStr">
        <is>
          <t>（デンジ） エッチすぎじゃないすか？</t>
        </is>
      </c>
      <c r="F349" s="5" t="inlineStr">
        <is>
          <t>맞음</t>
        </is>
      </c>
      <c r="G349" s="5" t="inlineStr"/>
      <c r="H349" s="3" t="inlineStr">
        <is>
          <t>脱ぎなよ 服着てると沈んじゃうよ / 脱ぎなよ 服着てると沈んじゃうよ / （デンジ） エッチすぎじゃないすか？</t>
        </is>
      </c>
      <c r="I349" s="4" t="n"/>
      <c r="J349" s="4" t="n"/>
      <c r="K349" s="4" t="n"/>
    </row>
    <row r="350">
      <c r="A350" s="2" t="n">
        <v>348</v>
      </c>
      <c r="B350" s="2" t="inlineStr">
        <is>
          <t>39:10.9</t>
        </is>
      </c>
      <c r="C350" s="2" t="inlineStr">
        <is>
          <t>너무 엣지하지 않습니까? 너무 야하지 않습니까?</t>
        </is>
      </c>
      <c r="D350" s="5" t="inlineStr">
        <is>
          <t>옮김</t>
        </is>
      </c>
      <c r="E350" s="5" t="inlineStr">
        <is>
          <t>（デンジ） エッチすぎじゃないすか？</t>
        </is>
      </c>
      <c r="F350" s="5" t="inlineStr">
        <is>
          <t>맞음</t>
        </is>
      </c>
      <c r="G350" s="5" t="inlineStr"/>
      <c r="H350" s="3" t="inlineStr">
        <is>
          <t>脱ぎなよ 服着てると沈んじゃうよ / （デンジ） エッチすぎじゃないすか？ / 泳げるようになりたくないの？</t>
        </is>
      </c>
      <c r="I350" s="4" t="n"/>
      <c r="J350" s="4" t="n"/>
      <c r="K350" s="4" t="n"/>
    </row>
    <row r="351">
      <c r="A351" s="2" t="n">
        <v>349</v>
      </c>
      <c r="B351" s="2" t="inlineStr">
        <is>
          <t>39:17.0</t>
        </is>
      </c>
      <c r="C351" s="2" t="inlineStr">
        <is>
          <t>아 몰라</t>
        </is>
      </c>
      <c r="D351" s="6" t="inlineStr">
        <is>
          <t>못알아들음</t>
        </is>
      </c>
      <c r="E351" s="6" t="inlineStr">
        <is>
          <t>泳げるようになりたくないの？</t>
        </is>
      </c>
      <c r="F351" s="6" t="inlineStr">
        <is>
          <t>못 알아들음</t>
        </is>
      </c>
      <c r="G351" s="6" t="inlineStr"/>
      <c r="H351" s="3" t="inlineStr">
        <is>
          <t>（デンジ） エッチすぎじゃないすか？ / 泳げるようになりたくないの？ / （デンジ）なりたくなってきた…</t>
        </is>
      </c>
      <c r="I351" s="4" t="n"/>
      <c r="J351" s="4" t="n"/>
      <c r="K351" s="4" t="n"/>
    </row>
    <row r="352">
      <c r="A352" s="2" t="n">
        <v>350</v>
      </c>
      <c r="B352" s="2" t="inlineStr">
        <is>
          <t>39:20.0</t>
        </is>
      </c>
      <c r="C352" s="2" t="inlineStr">
        <is>
          <t>なりたくなってきた</t>
        </is>
      </c>
      <c r="D352" s="5" t="inlineStr">
        <is>
          <t>따라함</t>
        </is>
      </c>
      <c r="E352" s="5" t="inlineStr">
        <is>
          <t>（デンジ）なりたくなってきた…</t>
        </is>
      </c>
      <c r="F352" s="5" t="inlineStr">
        <is>
          <t>맞음</t>
        </is>
      </c>
      <c r="G352" s="5" t="inlineStr"/>
      <c r="H352" s="3" t="inlineStr">
        <is>
          <t>（デンジ） エッチすぎじゃないすか？ / 泳げるようになりたくないの？ / （デンジ）なりたくなってきた…</t>
        </is>
      </c>
      <c r="I352" s="4" t="n"/>
      <c r="J352" s="4" t="n"/>
      <c r="K352" s="4" t="n"/>
    </row>
    <row r="353">
      <c r="A353" s="2" t="n">
        <v>351</v>
      </c>
      <c r="B353" s="2" t="inlineStr">
        <is>
          <t>39:23.8</t>
        </is>
      </c>
      <c r="C353" s="3" t="inlineStr">
        <is>
          <t>헉!</t>
        </is>
      </c>
      <c r="D353" s="3" t="inlineStr">
        <is>
          <t>반응·혼잣말</t>
        </is>
      </c>
      <c r="E353" s="2" t="inlineStr"/>
      <c r="F353" s="2" t="inlineStr"/>
      <c r="G353" s="2" t="inlineStr"/>
      <c r="H353" s="3" t="inlineStr">
        <is>
          <t>泳げるようになりたくないの？ / （デンジ）なりたくなってきた… / はっ!?</t>
        </is>
      </c>
      <c r="I353" s="4" t="n"/>
      <c r="J353" s="4" t="n"/>
      <c r="K353" s="4" t="n"/>
    </row>
    <row r="354">
      <c r="A354" s="2" t="n">
        <v>352</v>
      </c>
      <c r="B354" s="2" t="inlineStr">
        <is>
          <t>39:37.0</t>
        </is>
      </c>
      <c r="C354" s="3" t="inlineStr">
        <is>
          <t>어, 駄目だ</t>
        </is>
      </c>
      <c r="D354" s="3" t="inlineStr">
        <is>
          <t>반응·혼잣말</t>
        </is>
      </c>
      <c r="E354" s="2" t="inlineStr"/>
      <c r="F354" s="2" t="inlineStr"/>
      <c r="G354" s="2" t="inlineStr"/>
      <c r="H354" s="3" t="inlineStr">
        <is>
          <t>下！　下！ / ここで脱いだらマキマさんを 裏切る事になっちまう / ここで脱いだらマキマさんを 裏切る事になっちまう</t>
        </is>
      </c>
      <c r="I354" s="4" t="n"/>
      <c r="J354" s="4" t="n"/>
      <c r="K354" s="4" t="n"/>
    </row>
    <row r="355">
      <c r="A355" s="2" t="n">
        <v>353</v>
      </c>
      <c r="B355" s="2" t="inlineStr">
        <is>
          <t>39:43.5</t>
        </is>
      </c>
      <c r="C355" s="3" t="inlineStr">
        <is>
          <t>(웃음) 뭐야, 벗고 있네? 언제 벗었어?</t>
        </is>
      </c>
      <c r="D355" s="3" t="inlineStr">
        <is>
          <t>반응·혼잣말</t>
        </is>
      </c>
      <c r="E355" s="2" t="inlineStr"/>
      <c r="F355" s="2" t="inlineStr"/>
      <c r="G355" s="2" t="inlineStr"/>
      <c r="H355" s="3" t="inlineStr">
        <is>
          <t>わああああああ / 畜生 / はははっ</t>
        </is>
      </c>
      <c r="I355" s="4" t="n"/>
      <c r="J355" s="4" t="n"/>
      <c r="K355" s="4" t="n"/>
    </row>
    <row r="356">
      <c r="A356" s="2" t="n">
        <v>354</v>
      </c>
      <c r="B356" s="2" t="inlineStr">
        <is>
          <t>39:53.0</t>
        </is>
      </c>
      <c r="C356" s="3" t="inlineStr">
        <is>
          <t>아 씨발 안 들어갈 수가 없네.</t>
        </is>
      </c>
      <c r="D356" s="3" t="inlineStr">
        <is>
          <t>반응·혼잣말</t>
        </is>
      </c>
      <c r="E356" s="2" t="inlineStr"/>
      <c r="F356" s="2" t="inlineStr"/>
      <c r="G356" s="2" t="inlineStr"/>
      <c r="H356" s="3" t="inlineStr">
        <is>
          <t>はははっ / ほ～ら～ デンジ君もおいでよ！ / （デンジ）はっ</t>
        </is>
      </c>
      <c r="I356" s="4" t="n"/>
      <c r="J356" s="4" t="n"/>
      <c r="K356" s="4" t="n"/>
    </row>
    <row r="357">
      <c r="A357" s="2" t="n">
        <v>355</v>
      </c>
      <c r="B357" s="2" t="inlineStr">
        <is>
          <t>40:04.8</t>
        </is>
      </c>
      <c r="C357" s="2" t="inlineStr">
        <is>
          <t>아, 수영을 못하니까</t>
        </is>
      </c>
      <c r="D357" s="5" t="inlineStr">
        <is>
          <t>옮김</t>
        </is>
      </c>
      <c r="E357" s="5" t="inlineStr">
        <is>
          <t>さては泳げないから プール恐(こわ)いんだな！</t>
        </is>
      </c>
      <c r="F357" s="5" t="inlineStr">
        <is>
          <t>맞음</t>
        </is>
      </c>
      <c r="G357" s="5" t="inlineStr"/>
      <c r="H357" s="3" t="inlineStr">
        <is>
          <t>ダメだ デンジ 行ったらオレの心も行っちまう / ははあ～ん　わかった！ / さては泳げないから プール恐(こわ)いんだな！</t>
        </is>
      </c>
      <c r="I357" s="4" t="n"/>
      <c r="J357" s="4" t="n"/>
      <c r="K357" s="4" t="n"/>
    </row>
    <row r="358">
      <c r="A358" s="2" t="n">
        <v>356</v>
      </c>
      <c r="B358" s="2" t="inlineStr">
        <is>
          <t>40:08.0</t>
        </is>
      </c>
      <c r="C358" s="2" t="inlineStr">
        <is>
          <t>어. 그렇지. 물이 무섭냐? 풀이 무섭냐?</t>
        </is>
      </c>
      <c r="D358" s="5" t="inlineStr">
        <is>
          <t>옮김</t>
        </is>
      </c>
      <c r="E358" s="5" t="inlineStr">
        <is>
          <t>さては泳げないから プール恐(こわ)いんだな！</t>
        </is>
      </c>
      <c r="F358" s="5" t="inlineStr">
        <is>
          <t>맞음</t>
        </is>
      </c>
      <c r="G358" s="5" t="inlineStr"/>
      <c r="H358" s="3" t="inlineStr">
        <is>
          <t>ははあ～ん　わかった！ / さては泳げないから プール恐(こわ)いんだな！ / ググッウゥ</t>
        </is>
      </c>
      <c r="I358" s="4" t="n"/>
      <c r="J358" s="4" t="n"/>
      <c r="K358" s="4" t="n"/>
    </row>
    <row r="359">
      <c r="A359" s="2" t="n">
        <v>357</v>
      </c>
      <c r="B359" s="2" t="inlineStr">
        <is>
          <t>40:13.0</t>
        </is>
      </c>
      <c r="C359" s="2" t="inlineStr">
        <is>
          <t>泳ぎ, 泳ぎ가 수영인가 보네. 泳ぎ.</t>
        </is>
      </c>
      <c r="D359" s="5" t="inlineStr">
        <is>
          <t>추측</t>
        </is>
      </c>
      <c r="E359" s="5" t="inlineStr">
        <is>
          <t>さては泳げないから プール恐(こわ)いんだな！</t>
        </is>
      </c>
      <c r="F359" s="5" t="inlineStr">
        <is>
          <t>맞음</t>
        </is>
      </c>
      <c r="G359" s="5" t="inlineStr">
        <is>
          <t>泳ぎ → 수영</t>
        </is>
      </c>
      <c r="H359" s="3" t="inlineStr">
        <is>
          <t>さては泳げないから プール恐(こわ)いんだな！ / ググッウゥ / （レゼ）ほ～ら～</t>
        </is>
      </c>
      <c r="I359" s="4" t="n"/>
      <c r="J359" s="4" t="n"/>
      <c r="K359" s="4" t="n"/>
    </row>
    <row r="360">
      <c r="A360" s="2" t="n">
        <v>358</v>
      </c>
      <c r="B360" s="2" t="inlineStr">
        <is>
          <t>40:18.0</t>
        </is>
      </c>
      <c r="C360" s="3" t="inlineStr">
        <is>
          <t>으...</t>
        </is>
      </c>
      <c r="D360" s="3" t="inlineStr">
        <is>
          <t>반응·혼잣말</t>
        </is>
      </c>
      <c r="E360" s="2" t="inlineStr"/>
      <c r="F360" s="2" t="inlineStr"/>
      <c r="G360" s="2" t="inlineStr"/>
      <c r="H360" s="3" t="inlineStr">
        <is>
          <t>気持ちいよ～ / ううう / はやくはやく～</t>
        </is>
      </c>
      <c r="I360" s="4" t="n"/>
      <c r="J360" s="4" t="n"/>
      <c r="K360" s="4" t="n"/>
    </row>
    <row r="361">
      <c r="A361" s="2" t="n">
        <v>359</v>
      </c>
      <c r="B361" s="2" t="inlineStr">
        <is>
          <t>40:20.0</t>
        </is>
      </c>
      <c r="C361" s="3" t="inlineStr">
        <is>
          <t>(신음소리)</t>
        </is>
      </c>
      <c r="D361" s="3" t="inlineStr">
        <is>
          <t>소리·감탄</t>
        </is>
      </c>
      <c r="E361" s="2" t="inlineStr"/>
      <c r="F361" s="2" t="inlineStr"/>
      <c r="G361" s="2" t="inlineStr"/>
      <c r="H361" s="3" t="inlineStr">
        <is>
          <t>はやくはやく～ / うううう / うわあああああっ！</t>
        </is>
      </c>
      <c r="I361" s="4" t="n"/>
      <c r="J361" s="4" t="n"/>
      <c r="K361" s="4" t="n"/>
    </row>
    <row r="362">
      <c r="A362" s="2" t="n">
        <v>360</v>
      </c>
      <c r="B362" s="2" t="inlineStr">
        <is>
          <t>40:26.0</t>
        </is>
      </c>
      <c r="C362" s="3" t="inlineStr">
        <is>
          <t>그치</t>
        </is>
      </c>
      <c r="D362" s="3" t="inlineStr">
        <is>
          <t>반응·혼잣말</t>
        </is>
      </c>
      <c r="E362" s="2" t="inlineStr"/>
      <c r="F362" s="2" t="inlineStr"/>
      <c r="G362" s="2" t="inlineStr"/>
      <c r="H362" s="3" t="inlineStr">
        <is>
          <t>はやくはやく～ / うううう / うわあああああっ！</t>
        </is>
      </c>
      <c r="I362" s="4" t="n"/>
      <c r="J362" s="4" t="n"/>
      <c r="K362" s="4" t="n"/>
    </row>
    <row r="363">
      <c r="A363" s="2" t="n">
        <v>361</v>
      </c>
      <c r="B363" s="2" t="inlineStr">
        <is>
          <t>40:43.7</t>
        </is>
      </c>
      <c r="C363" s="3" t="inlineStr">
        <is>
          <t>안 좋아할 수가 없다야 이건</t>
        </is>
      </c>
      <c r="D363" s="3" t="inlineStr">
        <is>
          <t>반응·혼잣말</t>
        </is>
      </c>
      <c r="E363" s="2" t="inlineStr"/>
      <c r="F363" s="2" t="inlineStr"/>
      <c r="G363" s="2" t="inlineStr"/>
      <c r="H363" s="3" t="inlineStr">
        <is>
          <t>うううう / うわあああああっ！ / ウらあ!!</t>
        </is>
      </c>
      <c r="I363" s="4" t="n"/>
      <c r="J363" s="4" t="n"/>
      <c r="K363" s="4" t="n"/>
    </row>
    <row r="364">
      <c r="A364" s="2" t="n">
        <v>362</v>
      </c>
      <c r="B364" s="2" t="inlineStr">
        <is>
          <t>40:54.0</t>
        </is>
      </c>
      <c r="C364" s="3" t="inlineStr">
        <is>
          <t>씨발 저러는데 누가 안 좋아해</t>
        </is>
      </c>
      <c r="D364" s="3" t="inlineStr">
        <is>
          <t>반응·혼잣말</t>
        </is>
      </c>
      <c r="E364" s="2" t="inlineStr"/>
      <c r="F364" s="2" t="inlineStr"/>
      <c r="G364" s="2" t="inlineStr"/>
      <c r="H364" s="3" t="inlineStr">
        <is>
          <t>うわあああああっ！ / ウらあ!!</t>
        </is>
      </c>
      <c r="I364" s="4" t="n"/>
      <c r="J364" s="4" t="n"/>
      <c r="K364" s="4" t="n"/>
    </row>
    <row r="365">
      <c r="A365" s="2" t="n">
        <v>363</v>
      </c>
      <c r="B365" s="2" t="inlineStr">
        <is>
          <t>40:57.4</t>
        </is>
      </c>
      <c r="C365" s="3" t="inlineStr">
        <is>
          <t>어 방금 좀 의미심장한</t>
        </is>
      </c>
      <c r="D365" s="3" t="inlineStr">
        <is>
          <t>반응·혼잣말</t>
        </is>
      </c>
      <c r="E365" s="2" t="inlineStr"/>
      <c r="F365" s="2" t="inlineStr"/>
      <c r="G365" s="2" t="inlineStr"/>
      <c r="H365" s="3" t="inlineStr">
        <is>
          <t>ウらあ!!</t>
        </is>
      </c>
      <c r="I365" s="4" t="n"/>
      <c r="J365" s="4" t="n"/>
      <c r="K365" s="4" t="n"/>
    </row>
    <row r="366">
      <c r="A366" s="2" t="n">
        <v>364</v>
      </c>
      <c r="B366" s="2" t="inlineStr">
        <is>
          <t>41:00.8</t>
        </is>
      </c>
      <c r="C366" s="3" t="inlineStr">
        <is>
          <t>거미가 나비를 잡아먹어?</t>
        </is>
      </c>
      <c r="D366" s="3" t="inlineStr">
        <is>
          <t>반응·혼잣말</t>
        </is>
      </c>
      <c r="E366" s="2" t="inlineStr"/>
      <c r="F366" s="2" t="inlineStr"/>
      <c r="G366" s="2" t="inlineStr"/>
      <c r="H366" s="3" t="inlineStr"/>
      <c r="I366" s="4" t="n"/>
      <c r="J366" s="4" t="n"/>
      <c r="K366" s="4" t="n"/>
    </row>
    <row r="367">
      <c r="A367" s="2" t="n">
        <v>365</v>
      </c>
      <c r="B367" s="2" t="inlineStr">
        <is>
          <t>41:22.0</t>
        </is>
      </c>
      <c r="C367" s="3" t="inlineStr">
        <is>
          <t>아 다 좋은데 저 가운데 머리 뭐냐 저거</t>
        </is>
      </c>
      <c r="D367" s="3" t="inlineStr">
        <is>
          <t>반응·혼잣말</t>
        </is>
      </c>
      <c r="E367" s="2" t="inlineStr"/>
      <c r="F367" s="2" t="inlineStr"/>
      <c r="G367" s="2" t="inlineStr"/>
      <c r="H367" s="3" t="inlineStr"/>
      <c r="I367" s="4" t="n"/>
      <c r="J367" s="4" t="n"/>
      <c r="K367" s="4" t="n"/>
    </row>
    <row r="368">
      <c r="A368" s="2" t="n">
        <v>366</v>
      </c>
      <c r="B368" s="2" t="inlineStr">
        <is>
          <t>41:26.0</t>
        </is>
      </c>
      <c r="C368" s="3" t="inlineStr">
        <is>
          <t>아 저거 좀 맘에 안 들어</t>
        </is>
      </c>
      <c r="D368" s="3" t="inlineStr">
        <is>
          <t>반응·혼잣말</t>
        </is>
      </c>
      <c r="E368" s="2" t="inlineStr"/>
      <c r="F368" s="2" t="inlineStr"/>
      <c r="G368" s="2" t="inlineStr"/>
      <c r="H368" s="3" t="inlineStr"/>
      <c r="I368" s="4" t="n"/>
      <c r="J368" s="4" t="n"/>
      <c r="K368" s="4" t="n"/>
    </row>
    <row r="369">
      <c r="A369" s="2" t="n">
        <v>367</v>
      </c>
      <c r="B369" s="2" t="inlineStr">
        <is>
          <t>41:38.8</t>
        </is>
      </c>
      <c r="C369" s="3" t="inlineStr">
        <is>
          <t>아휴 씨발</t>
        </is>
      </c>
      <c r="D369" s="3" t="inlineStr">
        <is>
          <t>반응·혼잣말</t>
        </is>
      </c>
      <c r="E369" s="2" t="inlineStr"/>
      <c r="F369" s="2" t="inlineStr"/>
      <c r="G369" s="2" t="inlineStr"/>
      <c r="H369" s="3" t="inlineStr">
        <is>
          <t>（レゼ）教えてあげる！</t>
        </is>
      </c>
      <c r="I369" s="4" t="n"/>
      <c r="J369" s="4" t="n"/>
      <c r="K369" s="4" t="n"/>
    </row>
    <row r="370">
      <c r="A370" s="2" t="n">
        <v>368</v>
      </c>
      <c r="B370" s="2" t="inlineStr">
        <is>
          <t>41:41.4</t>
        </is>
      </c>
      <c r="C370" s="2" t="inlineStr">
        <is>
          <t>알려줄게</t>
        </is>
      </c>
      <c r="D370" s="5" t="inlineStr">
        <is>
          <t>옮김</t>
        </is>
      </c>
      <c r="E370" s="5" t="inlineStr">
        <is>
          <t>（レゼ）教えてあげる！</t>
        </is>
      </c>
      <c r="F370" s="5" t="inlineStr">
        <is>
          <t>맞음</t>
        </is>
      </c>
      <c r="G370" s="5" t="inlineStr"/>
      <c r="H370" s="3" t="inlineStr">
        <is>
          <t>（レゼ）教えてあげる！ / デンジ君の知らない事</t>
        </is>
      </c>
      <c r="I370" s="4" t="n"/>
      <c r="J370" s="4" t="n"/>
      <c r="K370" s="4" t="n"/>
    </row>
    <row r="371">
      <c r="A371" s="2" t="n">
        <v>369</v>
      </c>
      <c r="B371" s="2" t="inlineStr">
        <is>
          <t>41:46.2</t>
        </is>
      </c>
      <c r="C371" s="2" t="inlineStr">
        <is>
          <t>덴지군이 知らない事 모르는 것도 할 수 없는 것도</t>
        </is>
      </c>
      <c r="D371" s="5" t="inlineStr">
        <is>
          <t>따라함</t>
        </is>
      </c>
      <c r="E371" s="5" t="inlineStr">
        <is>
          <t>デンジ君の知らない事 / できない事</t>
        </is>
      </c>
      <c r="F371" s="5" t="inlineStr">
        <is>
          <t>맞음</t>
        </is>
      </c>
      <c r="G371" s="5" t="inlineStr">
        <is>
          <t>따라 하고 옮김</t>
        </is>
      </c>
      <c r="H371" s="3" t="inlineStr">
        <is>
          <t>（レゼ）教えてあげる！ / デンジ君の知らない事 / できない事</t>
        </is>
      </c>
      <c r="I371" s="4" t="n"/>
      <c r="J371" s="4" t="n"/>
      <c r="K371" s="4" t="n"/>
    </row>
    <row r="372">
      <c r="A372" s="2" t="n">
        <v>370</v>
      </c>
      <c r="B372" s="2" t="inlineStr">
        <is>
          <t>41:57.0</t>
        </is>
      </c>
      <c r="C372" s="2" t="inlineStr">
        <is>
          <t>내가 전부 알려줄게</t>
        </is>
      </c>
      <c r="D372" s="5" t="inlineStr">
        <is>
          <t>옮김</t>
        </is>
      </c>
      <c r="E372" s="5" t="inlineStr">
        <is>
          <t>私が全部 教えてあげる</t>
        </is>
      </c>
      <c r="F372" s="5" t="inlineStr">
        <is>
          <t>맞음</t>
        </is>
      </c>
      <c r="G372" s="5" t="inlineStr"/>
      <c r="H372" s="3" t="inlineStr">
        <is>
          <t>できない事 / できない事 / 私が全部 教えてあげる</t>
        </is>
      </c>
      <c r="I372" s="4" t="n"/>
      <c r="J372" s="4" t="n"/>
      <c r="K372" s="4" t="n"/>
    </row>
    <row r="373">
      <c r="A373" s="2" t="n">
        <v>371</v>
      </c>
      <c r="B373" s="2" t="inlineStr">
        <is>
          <t>42:01.0</t>
        </is>
      </c>
      <c r="C373" s="3" t="inlineStr">
        <is>
          <t>근데 이게 뭔가 상징적이야 되게</t>
        </is>
      </c>
      <c r="D373" s="3" t="inlineStr">
        <is>
          <t>반응·혼잣말</t>
        </is>
      </c>
      <c r="E373" s="2" t="inlineStr"/>
      <c r="F373" s="2" t="inlineStr"/>
      <c r="G373" s="2" t="inlineStr"/>
      <c r="H373" s="3" t="inlineStr">
        <is>
          <t>できない事 / できない事 / 私が全部 教えてあげる</t>
        </is>
      </c>
      <c r="I373" s="4" t="n"/>
      <c r="J373" s="4" t="n"/>
      <c r="K373" s="4" t="n"/>
    </row>
    <row r="374">
      <c r="A374" s="2" t="n">
        <v>372</v>
      </c>
      <c r="B374" s="2" t="inlineStr">
        <is>
          <t>42:04.0</t>
        </is>
      </c>
      <c r="C374" s="3" t="inlineStr">
        <is>
          <t>이거 나올 일이 없거든 느낌이</t>
        </is>
      </c>
      <c r="D374" s="3" t="inlineStr">
        <is>
          <t>반응·혼잣말</t>
        </is>
      </c>
      <c r="E374" s="2" t="inlineStr"/>
      <c r="F374" s="2" t="inlineStr"/>
      <c r="G374" s="2" t="inlineStr"/>
      <c r="H374" s="3" t="inlineStr">
        <is>
          <t>できない事 / できない事 / 私が全部 教えてあげる</t>
        </is>
      </c>
      <c r="I374" s="4" t="n"/>
      <c r="J374" s="4" t="n"/>
      <c r="K374" s="4" t="n"/>
    </row>
    <row r="375">
      <c r="A375" s="2" t="n">
        <v>373</v>
      </c>
      <c r="B375" s="2" t="inlineStr">
        <is>
          <t>42:10.9</t>
        </is>
      </c>
      <c r="C375" s="2" t="inlineStr">
        <is>
          <t>아 수영 가르쳐주고 있는 거야?</t>
        </is>
      </c>
      <c r="D375" s="7" t="inlineStr">
        <is>
          <t>추측</t>
        </is>
      </c>
      <c r="E375" s="7" t="inlineStr">
        <is>
          <t>デンジ君！　息継ぎ！　息継ぎ！</t>
        </is>
      </c>
      <c r="F375" s="7" t="inlineStr">
        <is>
          <t>대체로 맞음</t>
        </is>
      </c>
      <c r="G375" s="7" t="inlineStr"/>
      <c r="H375" s="3" t="inlineStr">
        <is>
          <t>私が全部 教えてあげる / デンジ君！　息継ぎ！　息継ぎ！ / （デンジ）ぷはっ！</t>
        </is>
      </c>
      <c r="I375" s="4" t="n"/>
      <c r="J375" s="4" t="n"/>
      <c r="K375" s="4" t="n"/>
    </row>
    <row r="376">
      <c r="A376" s="2" t="n">
        <v>374</v>
      </c>
      <c r="B376" s="2" t="inlineStr">
        <is>
          <t>43:06.6</t>
        </is>
      </c>
      <c r="C376" s="3" t="inlineStr">
        <is>
          <t>시작</t>
        </is>
      </c>
      <c r="D376" s="3" t="inlineStr">
        <is>
          <t>반응·혼잣말</t>
        </is>
      </c>
      <c r="E376" s="2" t="inlineStr"/>
      <c r="F376" s="2" t="inlineStr"/>
      <c r="G376" s="2" t="inlineStr"/>
      <c r="H376" s="3" t="inlineStr">
        <is>
          <t>マキマに捕まって 都会に連れて来られたんだ / （デンジ） 俺ぁ都会のネズミがいーな / （レゼ）え～!?</t>
        </is>
      </c>
      <c r="I376" s="4" t="n"/>
      <c r="J376" s="4" t="n"/>
      <c r="K376" s="4" t="n"/>
    </row>
    <row r="377">
      <c r="A377" s="2" t="n">
        <v>375</v>
      </c>
      <c r="B377" s="2" t="inlineStr">
        <is>
          <t>43:26.3</t>
        </is>
      </c>
      <c r="C377" s="2" t="inlineStr">
        <is>
          <t>아 잡아먹혀도</t>
        </is>
      </c>
      <c r="D377" s="9" t="inlineStr">
        <is>
          <t>옮김</t>
        </is>
      </c>
      <c r="E377" s="9" t="inlineStr">
        <is>
          <t>キミは食えて 楽しけりゃいいのか？</t>
        </is>
      </c>
      <c r="F377" s="9" t="inlineStr">
        <is>
          <t>틀림</t>
        </is>
      </c>
      <c r="G377" s="9" t="inlineStr">
        <is>
          <t>먹을 수 있으면 → 잡아먹혀도</t>
        </is>
      </c>
      <c r="H377" s="3" t="inlineStr">
        <is>
          <t>（レゼ）フフッ / キミは食えて 楽しけりゃいいのか？ / ああ</t>
        </is>
      </c>
      <c r="I377" s="4" t="n"/>
      <c r="J377" s="4" t="n"/>
      <c r="K377" s="4" t="n"/>
    </row>
    <row r="378">
      <c r="A378" s="2" t="n">
        <v>376</v>
      </c>
      <c r="B378" s="2" t="inlineStr">
        <is>
          <t>43:29.4</t>
        </is>
      </c>
      <c r="C378" s="2" t="inlineStr">
        <is>
          <t>재밌는 게 좋냐고</t>
        </is>
      </c>
      <c r="D378" s="10" t="inlineStr">
        <is>
          <t>옮김</t>
        </is>
      </c>
      <c r="E378" s="10" t="inlineStr">
        <is>
          <t>キミは食えて 楽しけりゃいいのか？</t>
        </is>
      </c>
      <c r="F378" s="10" t="inlineStr">
        <is>
          <t>조금 맞음</t>
        </is>
      </c>
      <c r="G378" s="10" t="inlineStr">
        <is>
          <t>즐거우면 되냐는 부분만</t>
        </is>
      </c>
      <c r="H378" s="3" t="inlineStr">
        <is>
          <t>（レゼ）フフッ / キミは食えて 楽しけりゃいいのか？ / ああ</t>
        </is>
      </c>
      <c r="I378" s="4" t="n"/>
      <c r="J378" s="4" t="n"/>
      <c r="K378" s="4" t="n"/>
    </row>
    <row r="379">
      <c r="A379" s="2" t="n">
        <v>377</v>
      </c>
      <c r="B379" s="2" t="inlineStr">
        <is>
          <t>43:42.0</t>
        </is>
      </c>
      <c r="C379" s="2" t="inlineStr">
        <is>
          <t>뭔 말인지 못 알아듣겠네</t>
        </is>
      </c>
      <c r="D379" s="6" t="inlineStr">
        <is>
          <t>못알아들음</t>
        </is>
      </c>
      <c r="E379" s="6" t="inlineStr">
        <is>
          <t>近くでお祭りあるから 一緒に行かない？</t>
        </is>
      </c>
      <c r="F379" s="6" t="inlineStr">
        <is>
          <t>못 알아들음</t>
        </is>
      </c>
      <c r="G379" s="6" t="inlineStr"/>
      <c r="H379" s="3" t="inlineStr">
        <is>
          <t>近くでお祭りあるから 一緒に行かない？ / きっと楽しいし おいしいよ / 仕事終わってからなら いーよ</t>
        </is>
      </c>
      <c r="I379" s="4" t="n"/>
      <c r="J379" s="4" t="n"/>
      <c r="K379" s="4" t="n"/>
    </row>
    <row r="380">
      <c r="A380" s="2" t="n">
        <v>378</v>
      </c>
      <c r="B380" s="2" t="inlineStr">
        <is>
          <t>43:46.0</t>
        </is>
      </c>
      <c r="C380" s="2" t="inlineStr">
        <is>
          <t>일 끝나면?</t>
        </is>
      </c>
      <c r="D380" s="5" t="inlineStr">
        <is>
          <t>옮김</t>
        </is>
      </c>
      <c r="E380" s="5" t="inlineStr">
        <is>
          <t>仕事終わってからなら いーよ</t>
        </is>
      </c>
      <c r="F380" s="5" t="inlineStr">
        <is>
          <t>맞음</t>
        </is>
      </c>
      <c r="G380" s="5" t="inlineStr"/>
      <c r="H380" s="3" t="inlineStr">
        <is>
          <t>仕事終わってからなら いーよ / いえーい　やった！ / 約束ね！</t>
        </is>
      </c>
      <c r="I380" s="4" t="n"/>
      <c r="J380" s="4" t="n"/>
      <c r="K380" s="4" t="n"/>
    </row>
    <row r="381">
      <c r="A381" s="2" t="n">
        <v>379</v>
      </c>
      <c r="B381" s="2" t="inlineStr">
        <is>
          <t>43:48.6</t>
        </is>
      </c>
      <c r="C381" s="2" t="inlineStr">
        <is>
          <t>약속이야.</t>
        </is>
      </c>
      <c r="D381" s="5" t="inlineStr">
        <is>
          <t>옮김</t>
        </is>
      </c>
      <c r="E381" s="5" t="inlineStr">
        <is>
          <t>約束ね！</t>
        </is>
      </c>
      <c r="F381" s="5" t="inlineStr">
        <is>
          <t>맞음</t>
        </is>
      </c>
      <c r="G381" s="5" t="inlineStr"/>
      <c r="H381" s="3" t="inlineStr">
        <is>
          <t>いえーい　やった！ / 約束ね！ / （デンジ）ん？</t>
        </is>
      </c>
      <c r="I381" s="4" t="n"/>
      <c r="J381" s="4" t="n"/>
      <c r="K381" s="4" t="n"/>
    </row>
    <row r="382">
      <c r="A382" s="2" t="n">
        <v>380</v>
      </c>
      <c r="B382" s="2" t="inlineStr">
        <is>
          <t>43:58.0</t>
        </is>
      </c>
      <c r="C382" s="3" t="inlineStr">
        <is>
          <t>(숨소리)</t>
        </is>
      </c>
      <c r="D382" s="3" t="inlineStr">
        <is>
          <t>소리·감탄</t>
        </is>
      </c>
      <c r="E382" s="2" t="inlineStr"/>
      <c r="F382" s="2" t="inlineStr"/>
      <c r="G382" s="2" t="inlineStr"/>
      <c r="H382" s="3" t="inlineStr">
        <is>
          <t>（レゼ）ちょっとおトイレ いってきま～す / ひひっ / （デンジ）超糞かわいい…</t>
        </is>
      </c>
      <c r="I382" s="4" t="n"/>
      <c r="J382" s="4" t="n"/>
      <c r="K382" s="4" t="n"/>
    </row>
    <row r="383">
      <c r="A383" s="2" t="n">
        <v>381</v>
      </c>
      <c r="B383" s="2" t="inlineStr">
        <is>
          <t>44:02.0</t>
        </is>
      </c>
      <c r="C383" s="3" t="inlineStr">
        <is>
          <t>음.</t>
        </is>
      </c>
      <c r="D383" s="3" t="inlineStr">
        <is>
          <t>소리·감탄</t>
        </is>
      </c>
      <c r="E383" s="2" t="inlineStr"/>
      <c r="F383" s="2" t="inlineStr"/>
      <c r="G383" s="2" t="inlineStr"/>
      <c r="H383" s="3" t="inlineStr">
        <is>
          <t>（レゼ）ちょっとおトイレ いってきま～す / ひひっ / （デンジ）超糞かわいい…</t>
        </is>
      </c>
      <c r="I383" s="4" t="n"/>
      <c r="J383" s="4" t="n"/>
      <c r="K383" s="4" t="n"/>
    </row>
    <row r="384">
      <c r="A384" s="2" t="n">
        <v>382</v>
      </c>
      <c r="B384" s="2" t="inlineStr">
        <is>
          <t>44:09.0</t>
        </is>
      </c>
      <c r="C384" s="3" t="inlineStr">
        <is>
          <t>(한숨)</t>
        </is>
      </c>
      <c r="D384" s="3" t="inlineStr">
        <is>
          <t>소리·감탄</t>
        </is>
      </c>
      <c r="E384" s="2" t="inlineStr"/>
      <c r="F384" s="2" t="inlineStr"/>
      <c r="G384" s="2" t="inlineStr"/>
      <c r="H384" s="3" t="inlineStr">
        <is>
          <t>（レゼ）ちょっとおトイレ いってきま～す / ひひっ / （デンジ）超糞かわいい…</t>
        </is>
      </c>
      <c r="I384" s="4" t="n"/>
      <c r="J384" s="4" t="n"/>
      <c r="K384" s="4" t="n"/>
    </row>
    <row r="385">
      <c r="A385" s="2" t="n">
        <v>383</v>
      </c>
      <c r="B385" s="2" t="inlineStr">
        <is>
          <t>44:12.1</t>
        </is>
      </c>
      <c r="C385" s="3" t="inlineStr">
        <is>
          <t>색, 어,</t>
        </is>
      </c>
      <c r="D385" s="3" t="inlineStr">
        <is>
          <t>반응·혼잣말</t>
        </is>
      </c>
      <c r="E385" s="2" t="inlineStr"/>
      <c r="F385" s="2" t="inlineStr"/>
      <c r="G385" s="2" t="inlineStr"/>
      <c r="H385" s="3" t="inlineStr">
        <is>
          <t>（レゼ）ちょっとおトイレ いってきま～す / ひひっ / （デンジ）超糞かわいい…</t>
        </is>
      </c>
      <c r="I385" s="4" t="n"/>
      <c r="J385" s="4" t="n"/>
      <c r="K385" s="4" t="n"/>
    </row>
    <row r="386">
      <c r="A386" s="2" t="n">
        <v>384</v>
      </c>
      <c r="B386" s="2" t="inlineStr">
        <is>
          <t>44:18.0</t>
        </is>
      </c>
      <c r="C386" s="3" t="inlineStr">
        <is>
          <t>색이 좀</t>
        </is>
      </c>
      <c r="D386" s="3" t="inlineStr">
        <is>
          <t>반응·혼잣말</t>
        </is>
      </c>
      <c r="E386" s="2" t="inlineStr"/>
      <c r="F386" s="2" t="inlineStr"/>
      <c r="G386" s="2" t="inlineStr"/>
      <c r="H386" s="3" t="inlineStr">
        <is>
          <t>（レゼ）ちょっとおトイレ いってきま～す / ひひっ / （デンジ）超糞かわいい…</t>
        </is>
      </c>
      <c r="I386" s="4" t="n"/>
      <c r="J386" s="4" t="n"/>
      <c r="K386" s="4" t="n"/>
    </row>
    <row r="387">
      <c r="A387" s="2" t="n">
        <v>385</v>
      </c>
      <c r="B387" s="2" t="inlineStr">
        <is>
          <t>44:40.1</t>
        </is>
      </c>
      <c r="C387" s="3" t="inlineStr">
        <is>
          <t>음.</t>
        </is>
      </c>
      <c r="D387" s="3" t="inlineStr">
        <is>
          <t>소리·감탄</t>
        </is>
      </c>
      <c r="E387" s="2" t="inlineStr"/>
      <c r="F387" s="2" t="inlineStr"/>
      <c r="G387" s="2" t="inlineStr"/>
      <c r="H387" s="3" t="inlineStr"/>
      <c r="I387" s="4" t="n"/>
      <c r="J387" s="4" t="n"/>
      <c r="K387" s="4" t="n"/>
    </row>
    <row r="388">
      <c r="A388" s="2" t="n">
        <v>386</v>
      </c>
      <c r="B388" s="2" t="inlineStr">
        <is>
          <t>45:00.5</t>
        </is>
      </c>
      <c r="C388" s="3" t="inlineStr">
        <is>
          <t>어, 카메라 연출 좋은데.</t>
        </is>
      </c>
      <c r="D388" s="3" t="inlineStr">
        <is>
          <t>반응·혼잣말</t>
        </is>
      </c>
      <c r="E388" s="2" t="inlineStr"/>
      <c r="F388" s="2" t="inlineStr"/>
      <c r="G388" s="2" t="inlineStr"/>
      <c r="H388" s="3" t="inlineStr">
        <is>
          <t>[추정] （レゼ）止(や)みませんねえ / [추정] （デンジ）お…</t>
        </is>
      </c>
      <c r="I388" s="4" t="n"/>
      <c r="J388" s="4" t="n"/>
      <c r="K388" s="4" t="n"/>
    </row>
    <row r="389">
      <c r="A389" s="2" t="n">
        <v>387</v>
      </c>
      <c r="B389" s="2" t="inlineStr">
        <is>
          <t>45:19.0</t>
        </is>
      </c>
      <c r="C389" s="2" t="inlineStr">
        <is>
          <t>そうそうデンジ君だよ。</t>
        </is>
      </c>
      <c r="D389" s="5" t="inlineStr">
        <is>
          <t>따라함</t>
        </is>
      </c>
      <c r="E389" s="5" t="inlineStr">
        <is>
          <t>そーそー　デンジ君だよ 俺はさあ</t>
        </is>
      </c>
      <c r="F389" s="5" t="inlineStr">
        <is>
          <t>맞음</t>
        </is>
      </c>
      <c r="G389" s="5" t="inlineStr"/>
      <c r="H389" s="3" t="inlineStr">
        <is>
          <t>（レゼ）デンジ君…？ / （謎の男）ハハハハハ / そーそー　デンジ君だよ 俺はさあ</t>
        </is>
      </c>
      <c r="I389" s="4" t="n"/>
      <c r="J389" s="4" t="n"/>
      <c r="K389" s="4" t="n"/>
    </row>
    <row r="390">
      <c r="A390" s="2" t="n">
        <v>388</v>
      </c>
      <c r="B390" s="2" t="inlineStr">
        <is>
          <t>45:22.0</t>
        </is>
      </c>
      <c r="C390" s="2" t="inlineStr">
        <is>
          <t>덴지야.</t>
        </is>
      </c>
      <c r="D390" s="5" t="inlineStr">
        <is>
          <t>옮김</t>
        </is>
      </c>
      <c r="E390" s="5" t="inlineStr">
        <is>
          <t>そーそー　デンジ君だよ 俺はさあ</t>
        </is>
      </c>
      <c r="F390" s="5" t="inlineStr">
        <is>
          <t>맞음</t>
        </is>
      </c>
      <c r="G390" s="5" t="inlineStr"/>
      <c r="H390" s="3" t="inlineStr">
        <is>
          <t>（レゼ）デンジ君…？ / （謎の男）ハハハハハ / そーそー　デンジ君だよ 俺はさあ</t>
        </is>
      </c>
      <c r="I390" s="4" t="n"/>
      <c r="J390" s="4" t="n"/>
      <c r="K390" s="4" t="n"/>
    </row>
    <row r="391">
      <c r="A391" s="2" t="n">
        <v>389</v>
      </c>
      <c r="B391" s="2" t="inlineStr">
        <is>
          <t>45:26.2</t>
        </is>
      </c>
      <c r="C391" s="2" t="inlineStr">
        <is>
          <t>チョンべい</t>
        </is>
      </c>
      <c r="D391" s="10" t="inlineStr">
        <is>
          <t>따라함</t>
        </is>
      </c>
      <c r="E391" s="10" t="inlineStr">
        <is>
          <t>ションベンしたかったんだよね</t>
        </is>
      </c>
      <c r="F391" s="10" t="inlineStr">
        <is>
          <t>조금 맞음</t>
        </is>
      </c>
      <c r="G391" s="10" t="inlineStr">
        <is>
          <t>ションベン → チョンべい</t>
        </is>
      </c>
      <c r="H391" s="3" t="inlineStr">
        <is>
          <t>そーそー　デンジ君だよ 俺はさあ / 俺も丁度 / ションベンしたかったんだよね</t>
        </is>
      </c>
      <c r="I391" s="4" t="n"/>
      <c r="J391" s="4" t="n"/>
      <c r="K391" s="4" t="n"/>
    </row>
    <row r="392">
      <c r="A392" s="2" t="n">
        <v>390</v>
      </c>
      <c r="B392" s="2" t="inlineStr">
        <is>
          <t>45:51.0</t>
        </is>
      </c>
      <c r="C392" s="2" t="inlineStr">
        <is>
          <t>좋아하는 사람이 둘이나 됐다.</t>
        </is>
      </c>
      <c r="D392" s="5" t="inlineStr">
        <is>
          <t>옮김</t>
        </is>
      </c>
      <c r="E392" s="5" t="inlineStr">
        <is>
          <t>ポチタ… 好きな人が二人できちまったよ</t>
        </is>
      </c>
      <c r="F392" s="5" t="inlineStr">
        <is>
          <t>맞음</t>
        </is>
      </c>
      <c r="G392" s="5" t="inlineStr"/>
      <c r="H392" s="3" t="inlineStr">
        <is>
          <t>連れションしようぜえ？ / なあ？ / ポチタ… 好きな人が二人できちまったよ</t>
        </is>
      </c>
      <c r="I392" s="4" t="n"/>
      <c r="J392" s="4" t="n"/>
      <c r="K392" s="4" t="n"/>
    </row>
    <row r="393">
      <c r="A393" s="2" t="n">
        <v>391</v>
      </c>
      <c r="B393" s="2" t="inlineStr">
        <is>
          <t>45:56.5</t>
        </is>
      </c>
      <c r="C393" s="2" t="inlineStr">
        <is>
          <t>誰だと思う？</t>
        </is>
      </c>
      <c r="D393" s="5" t="inlineStr">
        <is>
          <t>따라함</t>
        </is>
      </c>
      <c r="E393" s="5" t="inlineStr">
        <is>
          <t>誰だと思う…？</t>
        </is>
      </c>
      <c r="F393" s="5" t="inlineStr">
        <is>
          <t>맞음</t>
        </is>
      </c>
      <c r="G393" s="5" t="inlineStr"/>
      <c r="H393" s="3" t="inlineStr">
        <is>
          <t>なあ？ / ポチタ… 好きな人が二人できちまったよ / 誰だと思う…？</t>
        </is>
      </c>
      <c r="I393" s="4" t="n"/>
      <c r="J393" s="4" t="n"/>
      <c r="K393" s="4" t="n"/>
    </row>
    <row r="394">
      <c r="A394" s="2" t="n">
        <v>392</v>
      </c>
      <c r="B394" s="2" t="inlineStr">
        <is>
          <t>46:04.5</t>
        </is>
      </c>
      <c r="C394" s="3" t="inlineStr">
        <is>
          <t>어?!!!</t>
        </is>
      </c>
      <c r="D394" s="3" t="inlineStr">
        <is>
          <t>소리·감탄</t>
        </is>
      </c>
      <c r="E394" s="2" t="inlineStr"/>
      <c r="F394" s="2" t="inlineStr"/>
      <c r="G394" s="2" t="inlineStr"/>
      <c r="H394" s="3" t="inlineStr">
        <is>
          <t>誰だと思う…？ / 天使のヤツじゃあねえよ？ / アイツ 男なんだって</t>
        </is>
      </c>
      <c r="I394" s="4" t="n"/>
      <c r="J394" s="4" t="n"/>
      <c r="K394" s="4" t="n"/>
    </row>
    <row r="395">
      <c r="A395" s="2" t="n">
        <v>393</v>
      </c>
      <c r="B395" s="2" t="inlineStr">
        <is>
          <t>46:08.0</t>
        </is>
      </c>
      <c r="C395" s="2" t="inlineStr">
        <is>
          <t>남자야?</t>
        </is>
      </c>
      <c r="D395" s="5" t="inlineStr">
        <is>
          <t>옮김</t>
        </is>
      </c>
      <c r="E395" s="5" t="inlineStr">
        <is>
          <t>アイツ 男なんだって</t>
        </is>
      </c>
      <c r="F395" s="5" t="inlineStr">
        <is>
          <t>맞음</t>
        </is>
      </c>
      <c r="G395" s="5" t="inlineStr"/>
      <c r="H395" s="3" t="inlineStr">
        <is>
          <t>誰だと思う…？ / 天使のヤツじゃあねえよ？ / アイツ 男なんだって</t>
        </is>
      </c>
      <c r="I395" s="4" t="n"/>
      <c r="J395" s="4" t="n"/>
      <c r="K395" s="4" t="n"/>
    </row>
    <row r="396">
      <c r="A396" s="2" t="n">
        <v>394</v>
      </c>
      <c r="B396" s="2" t="inlineStr">
        <is>
          <t>46:13.0</t>
        </is>
      </c>
      <c r="C396" s="3" t="inlineStr">
        <is>
          <t>씨발, 성 정체성의 혼란이 오네, 이거.</t>
        </is>
      </c>
      <c r="D396" s="3" t="inlineStr">
        <is>
          <t>반응·혼잣말</t>
        </is>
      </c>
      <c r="E396" s="2" t="inlineStr"/>
      <c r="F396" s="2" t="inlineStr"/>
      <c r="G396" s="2" t="inlineStr"/>
      <c r="H396" s="3" t="inlineStr">
        <is>
          <t>天使のヤツじゃあねえよ？ / アイツ 男なんだって / あっ！　ああっ</t>
        </is>
      </c>
      <c r="I396" s="4" t="n"/>
      <c r="J396" s="4" t="n"/>
      <c r="K396" s="4" t="n"/>
    </row>
    <row r="397">
      <c r="A397" s="2" t="n">
        <v>395</v>
      </c>
      <c r="B397" s="2" t="inlineStr">
        <is>
          <t>46:19.0</t>
        </is>
      </c>
      <c r="C397" s="3" t="inlineStr">
        <is>
          <t>음.</t>
        </is>
      </c>
      <c r="D397" s="3" t="inlineStr">
        <is>
          <t>소리·감탄</t>
        </is>
      </c>
      <c r="E397" s="2" t="inlineStr"/>
      <c r="F397" s="2" t="inlineStr"/>
      <c r="G397" s="2" t="inlineStr"/>
      <c r="H397" s="3" t="inlineStr">
        <is>
          <t>あっ！　ああっ / （デンジ）小さい女も 顔は地味にいいけど / アイツ 俺を 殺そうとしたからな</t>
        </is>
      </c>
      <c r="I397" s="4" t="n"/>
      <c r="J397" s="4" t="n"/>
      <c r="K397" s="4" t="n"/>
    </row>
    <row r="398">
      <c r="A398" s="2" t="n">
        <v>396</v>
      </c>
      <c r="B398" s="2" t="inlineStr">
        <is>
          <t>46:21.2</t>
        </is>
      </c>
      <c r="C398" s="3" t="inlineStr">
        <is>
          <t>음.</t>
        </is>
      </c>
      <c r="D398" s="3" t="inlineStr">
        <is>
          <t>소리·감탄</t>
        </is>
      </c>
      <c r="E398" s="2" t="inlineStr"/>
      <c r="F398" s="2" t="inlineStr"/>
      <c r="G398" s="2" t="inlineStr"/>
      <c r="H398" s="3" t="inlineStr">
        <is>
          <t>（デンジ）小さい女も 顔は地味にいいけど / アイツ 俺を 殺そうとしたからな / （レゼ）うあぁ！</t>
        </is>
      </c>
      <c r="I398" s="4" t="n"/>
      <c r="J398" s="4" t="n"/>
      <c r="K398" s="4" t="n"/>
    </row>
    <row r="399">
      <c r="A399" s="2" t="n">
        <v>397</v>
      </c>
      <c r="B399" s="2" t="inlineStr">
        <is>
          <t>46:34.0</t>
        </is>
      </c>
      <c r="C399" s="3" t="inlineStr">
        <is>
          <t>음, 아, 파워는 뭐, 느낌이 안, 안 나.</t>
        </is>
      </c>
      <c r="D399" s="3" t="inlineStr">
        <is>
          <t>반응·혼잣말</t>
        </is>
      </c>
      <c r="E399" s="2" t="inlineStr"/>
      <c r="F399" s="2" t="inlineStr"/>
      <c r="G399" s="2" t="inlineStr"/>
      <c r="H399" s="3" t="inlineStr">
        <is>
          <t>ナルシストで自己中で 虚言癖持ちで / 差別主義者だろ / （謎の男）なんで逃げるんだ？</t>
        </is>
      </c>
      <c r="I399" s="4" t="n"/>
      <c r="J399" s="4" t="n"/>
      <c r="K399" s="4" t="n"/>
    </row>
    <row r="400">
      <c r="A400" s="2" t="n">
        <v>398</v>
      </c>
      <c r="B400" s="2" t="inlineStr">
        <is>
          <t>46:58.0</t>
        </is>
      </c>
      <c r="C400" s="3" t="inlineStr">
        <is>
          <t>(숨소리)</t>
        </is>
      </c>
      <c r="D400" s="3" t="inlineStr">
        <is>
          <t>소리·감탄</t>
        </is>
      </c>
      <c r="E400" s="2" t="inlineStr"/>
      <c r="F400" s="2" t="inlineStr"/>
      <c r="G400" s="2" t="inlineStr"/>
      <c r="H400" s="3" t="inlineStr">
        <is>
          <t>（デンジ）どうしよう… / 目ぇつむると 二人になっちまったよお～！ / ポチタはどっち選ぶ？</t>
        </is>
      </c>
      <c r="I400" s="4" t="n"/>
      <c r="J400" s="4" t="n"/>
      <c r="K400" s="4" t="n"/>
    </row>
    <row r="401">
      <c r="A401" s="2" t="n">
        <v>399</v>
      </c>
      <c r="B401" s="2" t="inlineStr">
        <is>
          <t>47:00.1</t>
        </is>
      </c>
      <c r="C401" s="2" t="inlineStr">
        <is>
          <t>왜 둘 중 하나를 고르라고 하지? 음.</t>
        </is>
      </c>
      <c r="D401" s="7" t="inlineStr">
        <is>
          <t>옮김</t>
        </is>
      </c>
      <c r="E401" s="7" t="inlineStr">
        <is>
          <t>ポチタはどっち選ぶ？</t>
        </is>
      </c>
      <c r="F401" s="7" t="inlineStr">
        <is>
          <t>대체로 맞음</t>
        </is>
      </c>
      <c r="G401" s="7" t="inlineStr"/>
      <c r="H401" s="3" t="inlineStr">
        <is>
          <t>目ぇつむると 二人になっちまったよお～！ / ポチタはどっち選ぶ？ / ううっ！</t>
        </is>
      </c>
      <c r="I401" s="4" t="n"/>
      <c r="J401" s="4" t="n"/>
      <c r="K401" s="4" t="n"/>
    </row>
    <row r="402">
      <c r="A402" s="2" t="n">
        <v>400</v>
      </c>
      <c r="B402" s="2" t="inlineStr">
        <is>
          <t>47:25.0</t>
        </is>
      </c>
      <c r="C402" s="2" t="inlineStr">
        <is>
          <t>아, 옥상에서 오줌 싸냐고.</t>
        </is>
      </c>
      <c r="D402" s="5" t="inlineStr">
        <is>
          <t>옮김</t>
        </is>
      </c>
      <c r="E402" s="5" t="inlineStr">
        <is>
          <t>キミは屋上で ションベンすんのか～？</t>
        </is>
      </c>
      <c r="F402" s="5" t="inlineStr">
        <is>
          <t>맞음</t>
        </is>
      </c>
      <c r="G402" s="5" t="inlineStr"/>
      <c r="H402" s="3" t="inlineStr">
        <is>
          <t>（謎の男）もしも～し / キミは屋上で ションベンすんのか～？ / アナタ… アナタなんなの!?</t>
        </is>
      </c>
      <c r="I402" s="4" t="n"/>
      <c r="J402" s="4" t="n"/>
      <c r="K402" s="4" t="n"/>
    </row>
    <row r="403">
      <c r="A403" s="2" t="n">
        <v>401</v>
      </c>
      <c r="B403" s="2" t="inlineStr">
        <is>
          <t>47:39.0</t>
        </is>
      </c>
      <c r="C403" s="2" t="inlineStr">
        <is>
          <t>オレはお前を知っているぜ.</t>
        </is>
      </c>
      <c r="D403" s="5" t="inlineStr">
        <is>
          <t>따라함</t>
        </is>
      </c>
      <c r="E403" s="5" t="inlineStr">
        <is>
          <t>俺はお前を知っているぜ</t>
        </is>
      </c>
      <c r="F403" s="5" t="inlineStr">
        <is>
          <t>맞음</t>
        </is>
      </c>
      <c r="G403" s="5" t="inlineStr"/>
      <c r="H403" s="3" t="inlineStr">
        <is>
          <t>（謎の男） そういう事聞く自分こそ / 己が何者なのか わかっているのか？ / 俺はお前を知っているぜ</t>
        </is>
      </c>
      <c r="I403" s="4" t="n"/>
      <c r="J403" s="4" t="n"/>
      <c r="K403" s="4" t="n"/>
    </row>
    <row r="404">
      <c r="A404" s="2" t="n">
        <v>402</v>
      </c>
      <c r="B404" s="2" t="inlineStr">
        <is>
          <t>47:41.0</t>
        </is>
      </c>
      <c r="C404" s="2" t="inlineStr">
        <is>
          <t>나는 너를 알고 있다고.</t>
        </is>
      </c>
      <c r="D404" s="5" t="inlineStr">
        <is>
          <t>옮김</t>
        </is>
      </c>
      <c r="E404" s="5" t="inlineStr">
        <is>
          <t>俺はお前を知っているぜ</t>
        </is>
      </c>
      <c r="F404" s="5" t="inlineStr">
        <is>
          <t>맞음</t>
        </is>
      </c>
      <c r="G404" s="5" t="inlineStr"/>
      <c r="H404" s="3" t="inlineStr">
        <is>
          <t>己が何者なのか わかっているのか？ / 俺はお前を知っているぜ / お前はチーズだ</t>
        </is>
      </c>
      <c r="I404" s="4" t="n"/>
      <c r="J404" s="4" t="n"/>
      <c r="K404" s="4" t="n"/>
    </row>
    <row r="405">
      <c r="A405" s="2" t="n">
        <v>403</v>
      </c>
      <c r="B405" s="2" t="inlineStr">
        <is>
          <t>47:44.7</t>
        </is>
      </c>
      <c r="C405" s="2" t="inlineStr">
        <is>
          <t>치즈다.</t>
        </is>
      </c>
      <c r="D405" s="5" t="inlineStr">
        <is>
          <t>옮김</t>
        </is>
      </c>
      <c r="E405" s="5" t="inlineStr">
        <is>
          <t>お前はチーズだ</t>
        </is>
      </c>
      <c r="F405" s="5" t="inlineStr">
        <is>
          <t>맞음</t>
        </is>
      </c>
      <c r="G405" s="5" t="inlineStr"/>
      <c r="H405" s="3" t="inlineStr">
        <is>
          <t>俺はお前を知っているぜ / お前はチーズだ / ネズミを 表に誘(おび)き寄せる為のチーズ</t>
        </is>
      </c>
      <c r="I405" s="4" t="n"/>
      <c r="J405" s="4" t="n"/>
      <c r="K405" s="4" t="n"/>
    </row>
    <row r="406">
      <c r="A406" s="2" t="n">
        <v>404</v>
      </c>
      <c r="B406" s="2" t="inlineStr">
        <is>
          <t>47:50.4</t>
        </is>
      </c>
      <c r="C406" s="2" t="inlineStr">
        <is>
          <t>어, 쥐를 잡기 위한 치즈.</t>
        </is>
      </c>
      <c r="D406" s="7" t="inlineStr">
        <is>
          <t>옮김</t>
        </is>
      </c>
      <c r="E406" s="7" t="inlineStr">
        <is>
          <t>ネズミを 表に誘(おび)き寄せる為のチーズ</t>
        </is>
      </c>
      <c r="F406" s="7" t="inlineStr">
        <is>
          <t>대체로 맞음</t>
        </is>
      </c>
      <c r="G406" s="7" t="inlineStr"/>
      <c r="H406" s="3" t="inlineStr">
        <is>
          <t>俺はお前を知っているぜ / お前はチーズだ / ネズミを 表に誘(おび)き寄せる為のチーズ</t>
        </is>
      </c>
      <c r="I406" s="4" t="n"/>
      <c r="J406" s="4" t="n"/>
      <c r="K406" s="4" t="n"/>
    </row>
    <row r="407">
      <c r="A407" s="2" t="n">
        <v>405</v>
      </c>
      <c r="B407" s="2" t="inlineStr">
        <is>
          <t>47:54.6</t>
        </is>
      </c>
      <c r="C407" s="2" t="inlineStr">
        <is>
          <t>미끼라는 소린가?</t>
        </is>
      </c>
      <c r="D407" s="5" t="inlineStr">
        <is>
          <t>추측</t>
        </is>
      </c>
      <c r="E407" s="5" t="inlineStr">
        <is>
          <t>ネズミを 表に誘(おび)き寄せる為のチーズ</t>
        </is>
      </c>
      <c r="F407" s="5" t="inlineStr">
        <is>
          <t>맞음</t>
        </is>
      </c>
      <c r="G407" s="5" t="inlineStr">
        <is>
          <t>미끼</t>
        </is>
      </c>
      <c r="H407" s="3" t="inlineStr">
        <is>
          <t>ネズミを 表に誘(おび)き寄せる為のチーズ / なっ 何を言ってるの…？ / お願い やめて</t>
        </is>
      </c>
      <c r="I407" s="4" t="n"/>
      <c r="J407" s="4" t="n"/>
      <c r="K407" s="4" t="n"/>
    </row>
    <row r="408">
      <c r="A408" s="2" t="n">
        <v>406</v>
      </c>
      <c r="B408" s="2" t="inlineStr">
        <is>
          <t>48:06.0</t>
        </is>
      </c>
      <c r="C408" s="2" t="inlineStr">
        <is>
          <t>뭐 얼굴 잘라가지고 보여준다는 건가?</t>
        </is>
      </c>
      <c r="D408" s="7" t="inlineStr">
        <is>
          <t>추측</t>
        </is>
      </c>
      <c r="E408" s="7" t="inlineStr">
        <is>
          <t>これからお前の顔の皮を剥いで / 目をくり抜いてチェンソーに 見せつけて</t>
        </is>
      </c>
      <c r="F408" s="7" t="inlineStr">
        <is>
          <t>대체로 맞음</t>
        </is>
      </c>
      <c r="G408" s="7" t="inlineStr"/>
      <c r="H408" s="3" t="inlineStr">
        <is>
          <t>これからお前の顔の皮を剥いで / 目をくり抜いてチェンソーに 見せつけて こういうんだ / “キミの大切な女性は まだ生きているよ”</t>
        </is>
      </c>
      <c r="I408" s="4" t="n"/>
      <c r="J408" s="4" t="n"/>
      <c r="K408" s="4" t="n"/>
    </row>
    <row r="409">
      <c r="A409" s="2" t="n">
        <v>407</v>
      </c>
      <c r="B409" s="2" t="inlineStr">
        <is>
          <t>48:16.0</t>
        </is>
      </c>
      <c r="C409" s="3" t="inlineStr">
        <is>
          <t>음?</t>
        </is>
      </c>
      <c r="D409" s="3" t="inlineStr">
        <is>
          <t>소리·감탄</t>
        </is>
      </c>
      <c r="E409" s="2" t="inlineStr"/>
      <c r="F409" s="2" t="inlineStr"/>
      <c r="G409" s="2" t="inlineStr"/>
      <c r="H409" s="3" t="inlineStr">
        <is>
          <t>“キミの大切な女性は まだ生きているよ” / （謎の男）すると なぜだか だいたい / みんな 俺の言う事を 大人しく聞いてくれるんだ</t>
        </is>
      </c>
      <c r="I409" s="4" t="n"/>
      <c r="J409" s="4" t="n"/>
      <c r="K409" s="4" t="n"/>
    </row>
    <row r="410">
      <c r="A410" s="2" t="n">
        <v>408</v>
      </c>
      <c r="B410" s="2" t="inlineStr">
        <is>
          <t>48:18.9</t>
        </is>
      </c>
      <c r="C410" s="3" t="inlineStr">
        <is>
          <t>표정이 좀</t>
        </is>
      </c>
      <c r="D410" s="3" t="inlineStr">
        <is>
          <t>반응·혼잣말</t>
        </is>
      </c>
      <c r="E410" s="2" t="inlineStr"/>
      <c r="F410" s="2" t="inlineStr"/>
      <c r="G410" s="2" t="inlineStr"/>
      <c r="H410" s="3" t="inlineStr">
        <is>
          <t>（謎の男）すると なぜだか だいたい / みんな 俺の言う事を 大人しく聞いてくれるんだ / だから後は殺すだけ</t>
        </is>
      </c>
      <c r="I410" s="4" t="n"/>
      <c r="J410" s="4" t="n"/>
      <c r="K410" s="4" t="n"/>
    </row>
    <row r="411">
      <c r="A411" s="2" t="n">
        <v>409</v>
      </c>
      <c r="B411" s="2" t="inlineStr">
        <is>
          <t>48:30.7</t>
        </is>
      </c>
      <c r="C411" s="2" t="inlineStr">
        <is>
          <t>음, 목숨은 필요 없다고.</t>
        </is>
      </c>
      <c r="D411" s="5" t="inlineStr">
        <is>
          <t>옮김</t>
        </is>
      </c>
      <c r="E411" s="5" t="inlineStr">
        <is>
          <t>命は… いらない</t>
        </is>
      </c>
      <c r="F411" s="5" t="inlineStr">
        <is>
          <t>맞음</t>
        </is>
      </c>
      <c r="G411" s="5" t="inlineStr"/>
      <c r="H411" s="3" t="inlineStr">
        <is>
          <t>お前の体で欲しいのは 皮と目だけなんだ / 命は… / いらない</t>
        </is>
      </c>
      <c r="I411" s="4" t="n"/>
      <c r="J411" s="4" t="n"/>
      <c r="K411" s="4" t="n"/>
    </row>
    <row r="412">
      <c r="A412" s="2" t="n">
        <v>410</v>
      </c>
      <c r="B412" s="2" t="inlineStr">
        <is>
          <t>48:41.0</t>
        </is>
      </c>
      <c r="C412" s="3" t="inlineStr">
        <is>
          <t>오.</t>
        </is>
      </c>
      <c r="D412" s="3" t="inlineStr">
        <is>
          <t>소리·감탄</t>
        </is>
      </c>
      <c r="E412" s="2" t="inlineStr"/>
      <c r="F412" s="2" t="inlineStr"/>
      <c r="G412" s="2" t="inlineStr"/>
      <c r="H412" s="3" t="inlineStr">
        <is>
          <t>命は… / いらない / （レゼ）ああ</t>
        </is>
      </c>
      <c r="I412" s="4" t="n"/>
      <c r="J412" s="4" t="n"/>
      <c r="K412" s="4" t="n"/>
    </row>
    <row r="413">
      <c r="A413" s="2" t="n">
        <v>411</v>
      </c>
      <c r="B413" s="2" t="inlineStr">
        <is>
          <t>48:44.0</t>
        </is>
      </c>
      <c r="C413" s="3" t="inlineStr">
        <is>
          <t>오.</t>
        </is>
      </c>
      <c r="D413" s="3" t="inlineStr">
        <is>
          <t>소리·감탄</t>
        </is>
      </c>
      <c r="E413" s="2" t="inlineStr"/>
      <c r="F413" s="2" t="inlineStr"/>
      <c r="G413" s="2" t="inlineStr"/>
      <c r="H413" s="3" t="inlineStr">
        <is>
          <t>命は… / いらない / （レゼ）ああ</t>
        </is>
      </c>
      <c r="I413" s="4" t="n"/>
      <c r="J413" s="4" t="n"/>
      <c r="K413" s="4" t="n"/>
    </row>
    <row r="414">
      <c r="A414" s="2" t="n">
        <v>412</v>
      </c>
      <c r="B414" s="2" t="inlineStr">
        <is>
          <t>48:49.5</t>
        </is>
      </c>
      <c r="C414" s="3" t="inlineStr">
        <is>
          <t>그 아까 방금 전에 표정이 좀</t>
        </is>
      </c>
      <c r="D414" s="3" t="inlineStr">
        <is>
          <t>반응·혼잣말</t>
        </is>
      </c>
      <c r="E414" s="2" t="inlineStr"/>
      <c r="F414" s="2" t="inlineStr"/>
      <c r="G414" s="2" t="inlineStr"/>
      <c r="H414" s="3" t="inlineStr">
        <is>
          <t>命は… / いらない / （レゼ）ああ</t>
        </is>
      </c>
      <c r="I414" s="4" t="n"/>
      <c r="J414" s="4" t="n"/>
      <c r="K414" s="4" t="n"/>
    </row>
    <row r="415">
      <c r="A415" s="2" t="n">
        <v>413</v>
      </c>
      <c r="B415" s="2" t="inlineStr">
        <is>
          <t>49:00.0</t>
        </is>
      </c>
      <c r="C415" s="3" t="inlineStr">
        <is>
          <t>그래, 이 표정.</t>
        </is>
      </c>
      <c r="D415" s="3" t="inlineStr">
        <is>
          <t>반응·혼잣말</t>
        </is>
      </c>
      <c r="E415" s="2" t="inlineStr"/>
      <c r="F415" s="2" t="inlineStr"/>
      <c r="G415" s="2" t="inlineStr"/>
      <c r="H415" s="3" t="inlineStr">
        <is>
          <t>（レゼ）ああ / [시각추정] ア ぱ ぱ ア パ</t>
        </is>
      </c>
      <c r="I415" s="4" t="n"/>
      <c r="J415" s="4" t="n"/>
      <c r="K415" s="4" t="n"/>
    </row>
    <row r="416">
      <c r="A416" s="2" t="n">
        <v>414</v>
      </c>
      <c r="B416" s="2" t="inlineStr">
        <is>
          <t>49:04.7</t>
        </is>
      </c>
      <c r="C416" s="3" t="inlineStr">
        <is>
          <t>이 표정 이상하잖아. 비가 이렇게 오는데.</t>
        </is>
      </c>
      <c r="D416" s="3" t="inlineStr">
        <is>
          <t>반응·혼잣말</t>
        </is>
      </c>
      <c r="E416" s="2" t="inlineStr"/>
      <c r="F416" s="2" t="inlineStr"/>
      <c r="G416" s="2" t="inlineStr"/>
      <c r="H416" s="3" t="inlineStr">
        <is>
          <t>（レゼ）ああ / [시각추정] ア ぱ ぱ ア パ</t>
        </is>
      </c>
      <c r="I416" s="4" t="n"/>
      <c r="J416" s="4" t="n"/>
      <c r="K416" s="4" t="n"/>
    </row>
    <row r="417">
      <c r="A417" s="2" t="n">
        <v>415</v>
      </c>
      <c r="B417" s="2" t="inlineStr">
        <is>
          <t>49:19.5</t>
        </is>
      </c>
      <c r="C417" s="3" t="inlineStr">
        <is>
          <t>(헛기침)</t>
        </is>
      </c>
      <c r="D417" s="3" t="inlineStr">
        <is>
          <t>소리·감탄</t>
        </is>
      </c>
      <c r="E417" s="2" t="inlineStr"/>
      <c r="F417" s="2" t="inlineStr"/>
      <c r="G417" s="2" t="inlineStr"/>
      <c r="H417" s="3" t="inlineStr">
        <is>
          <t>[시각추정] ♪ День моего / [시각추정] ♪ свидания с Джейн / [시각추정] ♪ Все готово</t>
        </is>
      </c>
      <c r="I417" s="4" t="n"/>
      <c r="J417" s="4" t="n"/>
      <c r="K417" s="4" t="n"/>
    </row>
    <row r="418">
      <c r="A418" s="2" t="n">
        <v>416</v>
      </c>
      <c r="B418" s="2" t="inlineStr">
        <is>
          <t>49:22.6</t>
        </is>
      </c>
      <c r="C418" s="3" t="inlineStr">
        <is>
          <t>시작.</t>
        </is>
      </c>
      <c r="D418" s="3" t="inlineStr">
        <is>
          <t>반응·혼잣말</t>
        </is>
      </c>
      <c r="E418" s="2" t="inlineStr"/>
      <c r="F418" s="2" t="inlineStr"/>
      <c r="G418" s="2" t="inlineStr"/>
      <c r="H418" s="3" t="inlineStr">
        <is>
          <t>[시각추정] ♪ свидания с Джейн / [시각추정] ♪ Все готово / ♪ спать в церкви</t>
        </is>
      </c>
      <c r="I418" s="4" t="n"/>
      <c r="J418" s="4" t="n"/>
      <c r="K418" s="4" t="n"/>
    </row>
    <row r="419">
      <c r="A419" s="2" t="n">
        <v>417</v>
      </c>
      <c r="B419" s="2" t="inlineStr">
        <is>
          <t>49:28.0</t>
        </is>
      </c>
      <c r="C419" s="3" t="inlineStr">
        <is>
          <t>이거 봐, 눈 안 감잖아.</t>
        </is>
      </c>
      <c r="D419" s="3" t="inlineStr">
        <is>
          <t>반응·혼잣말</t>
        </is>
      </c>
      <c r="E419" s="2" t="inlineStr"/>
      <c r="F419" s="2" t="inlineStr"/>
      <c r="G419" s="2" t="inlineStr"/>
      <c r="H419" s="3" t="inlineStr">
        <is>
          <t>[시각추정] ♪ свидания с Джейн / [시각추정] ♪ Все готово / ♪ спать в церкви</t>
        </is>
      </c>
      <c r="I419" s="4" t="n"/>
      <c r="J419" s="4" t="n"/>
      <c r="K419" s="4" t="n"/>
    </row>
    <row r="420">
      <c r="A420" s="2" t="n">
        <v>418</v>
      </c>
      <c r="B420" s="2" t="inlineStr">
        <is>
          <t>49:34.0</t>
        </is>
      </c>
      <c r="C420" s="3" t="inlineStr">
        <is>
          <t>어, 얘도 체인소 심장을 노리고 왔다는 소리네.</t>
        </is>
      </c>
      <c r="D420" s="3" t="inlineStr">
        <is>
          <t>반응·혼잣말</t>
        </is>
      </c>
      <c r="E420" s="2" t="inlineStr"/>
      <c r="F420" s="2" t="inlineStr"/>
      <c r="G420" s="2" t="inlineStr"/>
      <c r="H420" s="3" t="inlineStr">
        <is>
          <t>[시각추정] ♪ свидания с Джейн / [시각추정] ♪ Все готово / ♪ спать в церкви</t>
        </is>
      </c>
      <c r="I420" s="4" t="n"/>
      <c r="J420" s="4" t="n"/>
      <c r="K420" s="4" t="n"/>
    </row>
    <row r="421">
      <c r="A421" s="2" t="n">
        <v>419</v>
      </c>
      <c r="B421" s="2" t="inlineStr">
        <is>
          <t>49:39.5</t>
        </is>
      </c>
      <c r="C421" s="3" t="inlineStr">
        <is>
          <t>아 미인계 조심해야 된다니까.</t>
        </is>
      </c>
      <c r="D421" s="3" t="inlineStr">
        <is>
          <t>반응·혼잣말</t>
        </is>
      </c>
      <c r="E421" s="2" t="inlineStr"/>
      <c r="F421" s="2" t="inlineStr"/>
      <c r="G421" s="2" t="inlineStr"/>
      <c r="H421" s="3" t="inlineStr">
        <is>
          <t>[시각추정] ♪ свидания с Джейн / [시각추정] ♪ Все готово / ♪ спать в церкви</t>
        </is>
      </c>
      <c r="I421" s="4" t="n"/>
      <c r="J421" s="4" t="n"/>
      <c r="K421" s="4" t="n"/>
    </row>
    <row r="422">
      <c r="A422" s="2" t="n">
        <v>420</v>
      </c>
      <c r="B422" s="2" t="inlineStr">
        <is>
          <t>49:44.2</t>
        </is>
      </c>
      <c r="C422" s="3" t="inlineStr">
        <is>
          <t>어, 씨발 표정 보소.</t>
        </is>
      </c>
      <c r="D422" s="3" t="inlineStr">
        <is>
          <t>반응·혼잣말</t>
        </is>
      </c>
      <c r="E422" s="2" t="inlineStr"/>
      <c r="F422" s="2" t="inlineStr"/>
      <c r="G422" s="2" t="inlineStr"/>
      <c r="H422" s="3" t="inlineStr">
        <is>
          <t>♪ спать в церкви</t>
        </is>
      </c>
      <c r="I422" s="4" t="n"/>
      <c r="J422" s="4" t="n"/>
      <c r="K422" s="4" t="n"/>
    </row>
    <row r="423">
      <c r="A423" s="2" t="n">
        <v>421</v>
      </c>
      <c r="B423" s="2" t="inlineStr">
        <is>
          <t>50:00.2</t>
        </is>
      </c>
      <c r="C423" s="2" t="inlineStr">
        <is>
          <t>태풍?</t>
        </is>
      </c>
      <c r="D423" s="5" t="inlineStr">
        <is>
          <t>옮김</t>
        </is>
      </c>
      <c r="E423" s="5" t="inlineStr">
        <is>
          <t>台風</t>
        </is>
      </c>
      <c r="F423" s="5" t="inlineStr">
        <is>
          <t>맞음</t>
        </is>
      </c>
      <c r="G423" s="5" t="inlineStr"/>
      <c r="H423" s="3" t="inlineStr">
        <is>
          <t>嵐で学校に閉じ込めたの キミでしょ / 台風 / （台風の悪魔）レゼ様ガ イタトハ知リマセンデシタ</t>
        </is>
      </c>
      <c r="I423" s="4" t="n"/>
      <c r="J423" s="4" t="n"/>
      <c r="K423" s="4" t="n"/>
    </row>
    <row r="424">
      <c r="A424" s="2" t="n">
        <v>422</v>
      </c>
      <c r="B424" s="2" t="inlineStr">
        <is>
          <t>50:11.0</t>
        </is>
      </c>
      <c r="C424" s="2" t="inlineStr">
        <is>
          <t>あの男は</t>
        </is>
      </c>
      <c r="D424" s="5" t="inlineStr">
        <is>
          <t>따라함</t>
        </is>
      </c>
      <c r="E424" s="5" t="inlineStr">
        <is>
          <t>あの男の死体は処理しておいて</t>
        </is>
      </c>
      <c r="F424" s="5" t="inlineStr">
        <is>
          <t>맞음</t>
        </is>
      </c>
      <c r="G424" s="5" t="inlineStr">
        <is>
          <t>앞부분</t>
        </is>
      </c>
      <c r="H424" s="3" t="inlineStr">
        <is>
          <t>（台風の悪魔）レゼ様ガ イタトハ知リマセンデシタ / 今回の事を見逃すから しばらく私に服従ね / あの男の死体は処理しておいて</t>
        </is>
      </c>
      <c r="I424" s="4" t="n"/>
      <c r="J424" s="4" t="n"/>
      <c r="K424" s="4" t="n"/>
    </row>
    <row r="425">
      <c r="A425" s="2" t="n">
        <v>423</v>
      </c>
      <c r="B425" s="2" t="inlineStr">
        <is>
          <t>50:14.0</t>
        </is>
      </c>
      <c r="C425" s="2" t="inlineStr">
        <is>
          <t>死体は処理</t>
        </is>
      </c>
      <c r="D425" s="5" t="inlineStr">
        <is>
          <t>따라함</t>
        </is>
      </c>
      <c r="E425" s="5" t="inlineStr">
        <is>
          <t>あの男の死体は処理しておいて</t>
        </is>
      </c>
      <c r="F425" s="5" t="inlineStr">
        <is>
          <t>맞음</t>
        </is>
      </c>
      <c r="G425" s="5" t="inlineStr">
        <is>
          <t>뒷부분</t>
        </is>
      </c>
      <c r="H425" s="3" t="inlineStr">
        <is>
          <t>（台風の悪魔）レゼ様ガ イタトハ知リマセンデシタ / 今回の事を見逃すから しばらく私に服従ね / あの男の死体は処理しておいて</t>
        </is>
      </c>
      <c r="I425" s="4" t="n"/>
      <c r="J425" s="4" t="n"/>
      <c r="K425" s="4" t="n"/>
    </row>
    <row r="426">
      <c r="A426" s="2" t="n">
        <v>424</v>
      </c>
      <c r="B426" s="2" t="inlineStr">
        <is>
          <t>50:19.0</t>
        </is>
      </c>
      <c r="C426" s="2" t="inlineStr">
        <is>
          <t>저 남자 시체는 처리해 주고.</t>
        </is>
      </c>
      <c r="D426" s="5" t="inlineStr">
        <is>
          <t>옮김</t>
        </is>
      </c>
      <c r="E426" s="5" t="inlineStr">
        <is>
          <t>あの男の死体は処理しておいて</t>
        </is>
      </c>
      <c r="F426" s="5" t="inlineStr">
        <is>
          <t>맞음</t>
        </is>
      </c>
      <c r="G426" s="5" t="inlineStr"/>
      <c r="H426" s="3" t="inlineStr">
        <is>
          <t>（台風の悪魔）レゼ様ガ イタトハ知リマセンデシタ / 今回の事を見逃すから しばらく私に服従ね / あの男の死体は処理しておいて</t>
        </is>
      </c>
      <c r="I426" s="4" t="n"/>
      <c r="J426" s="4" t="n"/>
      <c r="K426" s="4" t="n"/>
    </row>
    <row r="427">
      <c r="A427" s="2" t="n">
        <v>425</v>
      </c>
      <c r="B427" s="2" t="inlineStr">
        <is>
          <t>50:24.0</t>
        </is>
      </c>
      <c r="C427" s="3" t="inlineStr">
        <is>
          <t>(기침)</t>
        </is>
      </c>
      <c r="D427" s="3" t="inlineStr">
        <is>
          <t>소리·감탄</t>
        </is>
      </c>
      <c r="E427" s="2" t="inlineStr"/>
      <c r="F427" s="2" t="inlineStr"/>
      <c r="G427" s="2" t="inlineStr"/>
      <c r="H427" s="3" t="inlineStr">
        <is>
          <t>（台風の悪魔）レゼ様ガ イタトハ知リマセンデシタ / 今回の事を見逃すから しばらく私に服従ね / あの男の死体は処理しておいて</t>
        </is>
      </c>
      <c r="I427" s="4" t="n"/>
      <c r="J427" s="4" t="n"/>
      <c r="K427" s="4" t="n"/>
    </row>
    <row r="428">
      <c r="A428" s="2" t="n">
        <v>426</v>
      </c>
      <c r="B428" s="2" t="inlineStr">
        <is>
          <t>50:34.8</t>
        </is>
      </c>
      <c r="C428" s="3" t="inlineStr">
        <is>
          <t>그래, 이상하다니까.</t>
        </is>
      </c>
      <c r="D428" s="3" t="inlineStr">
        <is>
          <t>반응·혼잣말</t>
        </is>
      </c>
      <c r="E428" s="2" t="inlineStr"/>
      <c r="F428" s="2" t="inlineStr"/>
      <c r="G428" s="2" t="inlineStr"/>
      <c r="H428" s="3" t="inlineStr">
        <is>
          <t>今回の事を見逃すから しばらく私に服従ね / あの男の死体は処理しておいて</t>
        </is>
      </c>
      <c r="I428" s="4" t="n"/>
      <c r="J428" s="4" t="n"/>
      <c r="K428" s="4" t="n"/>
    </row>
    <row r="429">
      <c r="A429" s="2" t="n">
        <v>427</v>
      </c>
      <c r="B429" s="2" t="inlineStr">
        <is>
          <t>51:04.3</t>
        </is>
      </c>
      <c r="C429" s="3" t="inlineStr">
        <is>
          <t>可愛い</t>
        </is>
      </c>
      <c r="D429" s="3" t="inlineStr">
        <is>
          <t>반응·혼잣말</t>
        </is>
      </c>
      <c r="E429" s="2" t="inlineStr"/>
      <c r="F429" s="2" t="inlineStr"/>
      <c r="G429" s="2" t="inlineStr"/>
      <c r="H429" s="3" t="inlineStr">
        <is>
          <t>フフッ / あっ… / はははっ</t>
        </is>
      </c>
      <c r="I429" s="4" t="n"/>
      <c r="J429" s="4" t="n"/>
      <c r="K429" s="4" t="n"/>
    </row>
    <row r="430">
      <c r="A430" s="2" t="n">
        <v>428</v>
      </c>
      <c r="B430" s="2" t="inlineStr">
        <is>
          <t>51:17.0</t>
        </is>
      </c>
      <c r="C430" s="3" t="inlineStr">
        <is>
          <t>꿈이야, 뭐야.</t>
        </is>
      </c>
      <c r="D430" s="3" t="inlineStr">
        <is>
          <t>반응·혼잣말</t>
        </is>
      </c>
      <c r="E430" s="2" t="inlineStr"/>
      <c r="F430" s="2" t="inlineStr"/>
      <c r="G430" s="2" t="inlineStr"/>
      <c r="H430" s="3" t="inlineStr">
        <is>
          <t>フフッ / あっ… / はははっ</t>
        </is>
      </c>
      <c r="I430" s="4" t="n"/>
      <c r="J430" s="4" t="n"/>
      <c r="K430" s="4" t="n"/>
    </row>
    <row r="431">
      <c r="A431" s="2" t="n">
        <v>429</v>
      </c>
      <c r="B431" s="2" t="inlineStr">
        <is>
          <t>52:23.1</t>
        </is>
      </c>
      <c r="C431" s="3" t="inlineStr">
        <is>
          <t>아, 데이트 한 거야? 벌써 넘어온 거네.</t>
        </is>
      </c>
      <c r="D431" s="3" t="inlineStr">
        <is>
          <t>반응·혼잣말</t>
        </is>
      </c>
      <c r="E431" s="2" t="inlineStr"/>
      <c r="F431" s="2" t="inlineStr"/>
      <c r="G431" s="2" t="inlineStr"/>
      <c r="H431" s="3" t="inlineStr"/>
      <c r="I431" s="4" t="n"/>
      <c r="J431" s="4" t="n"/>
      <c r="K431" s="4" t="n"/>
    </row>
    <row r="432">
      <c r="A432" s="2" t="n">
        <v>430</v>
      </c>
      <c r="B432" s="2" t="inlineStr">
        <is>
          <t>52:30.8</t>
        </is>
      </c>
      <c r="C432" s="2" t="inlineStr">
        <is>
          <t>커피 마스터가 이 장소 알려줬다고.</t>
        </is>
      </c>
      <c r="D432" s="5" t="inlineStr">
        <is>
          <t>옮김</t>
        </is>
      </c>
      <c r="E432" s="5" t="inlineStr">
        <is>
          <t>この場所 カフェのマスターに 教えてもらったんだ</t>
        </is>
      </c>
      <c r="F432" s="5" t="inlineStr">
        <is>
          <t>맞음</t>
        </is>
      </c>
      <c r="G432" s="5" t="inlineStr"/>
      <c r="H432" s="3" t="inlineStr">
        <is>
          <t>この場所 カフェのマスターに 教えてもらったんだ</t>
        </is>
      </c>
      <c r="I432" s="4" t="n"/>
      <c r="J432" s="4" t="n"/>
      <c r="K432" s="4" t="n"/>
    </row>
    <row r="433">
      <c r="A433" s="2" t="n">
        <v>431</v>
      </c>
      <c r="B433" s="2" t="inlineStr">
        <is>
          <t>52:35.5</t>
        </is>
      </c>
      <c r="C433" s="2" t="inlineStr">
        <is>
          <t>花火</t>
        </is>
      </c>
      <c r="D433" s="5" t="inlineStr">
        <is>
          <t>따라함</t>
        </is>
      </c>
      <c r="E433" s="5" t="inlineStr">
        <is>
          <t>花火が一番見えて</t>
        </is>
      </c>
      <c r="F433" s="5" t="inlineStr">
        <is>
          <t>맞음</t>
        </is>
      </c>
      <c r="G433" s="5" t="inlineStr">
        <is>
          <t>花火</t>
        </is>
      </c>
      <c r="H433" s="3" t="inlineStr">
        <is>
          <t>この場所 カフェのマスターに 教えてもらったんだ / 花火が一番見えて</t>
        </is>
      </c>
      <c r="I433" s="4" t="n"/>
      <c r="J433" s="4" t="n"/>
      <c r="K433" s="4" t="n"/>
    </row>
    <row r="434">
      <c r="A434" s="2" t="n">
        <v>432</v>
      </c>
      <c r="B434" s="2" t="inlineStr">
        <is>
          <t>52:37.6</t>
        </is>
      </c>
      <c r="C434" s="2" t="inlineStr">
        <is>
          <t>불꽃축제인가.</t>
        </is>
      </c>
      <c r="D434" s="5" t="inlineStr">
        <is>
          <t>추측</t>
        </is>
      </c>
      <c r="E434" s="5" t="inlineStr">
        <is>
          <t>花火が一番見えて</t>
        </is>
      </c>
      <c r="F434" s="5" t="inlineStr">
        <is>
          <t>맞음</t>
        </is>
      </c>
      <c r="G434" s="5" t="inlineStr">
        <is>
          <t>불꽃축제</t>
        </is>
      </c>
      <c r="H434" s="3" t="inlineStr">
        <is>
          <t>この場所 カフェのマスターに 教えてもらったんだ / 花火が一番見えて</t>
        </is>
      </c>
      <c r="I434" s="4" t="n"/>
      <c r="J434" s="4" t="n"/>
      <c r="K434" s="4" t="n"/>
    </row>
    <row r="435">
      <c r="A435" s="2" t="n">
        <v>433</v>
      </c>
      <c r="B435" s="2" t="inlineStr">
        <is>
          <t>52:41.5</t>
        </is>
      </c>
      <c r="C435" s="2" t="inlineStr">
        <is>
          <t>제일 잘 보이는 그런 장소.</t>
        </is>
      </c>
      <c r="D435" s="5" t="inlineStr">
        <is>
          <t>옮김</t>
        </is>
      </c>
      <c r="E435" s="5" t="inlineStr">
        <is>
          <t>花火が一番見えて</t>
        </is>
      </c>
      <c r="F435" s="5" t="inlineStr">
        <is>
          <t>맞음</t>
        </is>
      </c>
      <c r="G435" s="5" t="inlineStr"/>
      <c r="H435" s="3" t="inlineStr">
        <is>
          <t>花火が一番見えて / 誰も人来ない マル秘スポットなんだって / （デンジ）ふ～ん</t>
        </is>
      </c>
      <c r="I435" s="4" t="n"/>
      <c r="J435" s="4" t="n"/>
      <c r="K435" s="4" t="n"/>
    </row>
    <row r="436">
      <c r="A436" s="2" t="n">
        <v>434</v>
      </c>
      <c r="B436" s="2" t="inlineStr">
        <is>
          <t>53:03.9</t>
        </is>
      </c>
      <c r="C436" s="2" t="inlineStr">
        <is>
          <t>여러 가지로 생각해 봤는데</t>
        </is>
      </c>
      <c r="D436" s="5" t="inlineStr">
        <is>
          <t>옮김</t>
        </is>
      </c>
      <c r="E436" s="5" t="inlineStr">
        <is>
          <t>いろいろ考えたんだけどさ</t>
        </is>
      </c>
      <c r="F436" s="5" t="inlineStr">
        <is>
          <t>맞음</t>
        </is>
      </c>
      <c r="G436" s="5" t="inlineStr"/>
      <c r="H436" s="3" t="inlineStr">
        <is>
          <t>（デンジ）ふ～ん / （レゼ）ねぇ デンジ君 / いろいろ考えたんだけどさ</t>
        </is>
      </c>
      <c r="I436" s="4" t="n"/>
      <c r="J436" s="4" t="n"/>
      <c r="K436" s="4" t="n"/>
    </row>
    <row r="437">
      <c r="A437" s="2" t="n">
        <v>435</v>
      </c>
      <c r="B437" s="2" t="inlineStr">
        <is>
          <t>53:11.0</t>
        </is>
      </c>
      <c r="C437" s="2" t="inlineStr">
        <is>
          <t>지금의 덴지의 상황은 좀 이상하다.</t>
        </is>
      </c>
      <c r="D437" s="5" t="inlineStr">
        <is>
          <t>옮김</t>
        </is>
      </c>
      <c r="E437" s="5" t="inlineStr">
        <is>
          <t>（レゼ）やっぱり今の デンジ君の状況 おかしいよ</t>
        </is>
      </c>
      <c r="F437" s="5" t="inlineStr">
        <is>
          <t>맞음</t>
        </is>
      </c>
      <c r="G437" s="5" t="inlineStr"/>
      <c r="H437" s="3" t="inlineStr">
        <is>
          <t>いろいろ考えたんだけどさ / おっ / （レゼ）やっぱり今の デンジ君の状況 おかしいよ</t>
        </is>
      </c>
      <c r="I437" s="4" t="n"/>
      <c r="J437" s="4" t="n"/>
      <c r="K437" s="4" t="n"/>
    </row>
    <row r="438">
      <c r="A438" s="2" t="n">
        <v>436</v>
      </c>
      <c r="B438" s="2" t="inlineStr">
        <is>
          <t>53:17.0</t>
        </is>
      </c>
      <c r="C438" s="2" t="inlineStr">
        <is>
          <t>열여섯 살인데 학교도 안 가고</t>
        </is>
      </c>
      <c r="D438" s="5" t="inlineStr">
        <is>
          <t>옮김</t>
        </is>
      </c>
      <c r="E438" s="5" t="inlineStr">
        <is>
          <t>16歳で学校にも行かせないで</t>
        </is>
      </c>
      <c r="F438" s="5" t="inlineStr">
        <is>
          <t>맞음</t>
        </is>
      </c>
      <c r="G438" s="5" t="inlineStr"/>
      <c r="H438" s="3" t="inlineStr">
        <is>
          <t>（レゼ）やっぱり今の デンジ君の状況 おかしいよ / 16歳で学校にも行かせないで / 悪魔と殺し合いさせるなんて</t>
        </is>
      </c>
      <c r="I438" s="4" t="n"/>
      <c r="J438" s="4" t="n"/>
      <c r="K438" s="4" t="n"/>
    </row>
    <row r="439">
      <c r="A439" s="2" t="n">
        <v>437</v>
      </c>
      <c r="B439" s="2" t="inlineStr">
        <is>
          <t>53:22.0</t>
        </is>
      </c>
      <c r="C439" s="2" t="inlineStr">
        <is>
          <t>악마도 죽이고</t>
        </is>
      </c>
      <c r="D439" s="7" t="inlineStr">
        <is>
          <t>옮김</t>
        </is>
      </c>
      <c r="E439" s="7" t="inlineStr">
        <is>
          <t>悪魔と殺し合いさせるなんて</t>
        </is>
      </c>
      <c r="F439" s="7" t="inlineStr">
        <is>
          <t>대체로 맞음</t>
        </is>
      </c>
      <c r="G439" s="7" t="inlineStr"/>
      <c r="H439" s="3" t="inlineStr">
        <is>
          <t>16歳で学校にも行かせないで / 悪魔と殺し合いさせるなんて / 国が許していい事じゃない</t>
        </is>
      </c>
      <c r="I439" s="4" t="n"/>
      <c r="J439" s="4" t="n"/>
      <c r="K439" s="4" t="n"/>
    </row>
    <row r="440">
      <c r="A440" s="2" t="n">
        <v>438</v>
      </c>
      <c r="B440" s="2" t="inlineStr">
        <is>
          <t>53:26.2</t>
        </is>
      </c>
      <c r="C440" s="2" t="inlineStr">
        <is>
          <t>어, 모르겠어.</t>
        </is>
      </c>
      <c r="D440" s="6" t="inlineStr">
        <is>
          <t>못알아들음</t>
        </is>
      </c>
      <c r="E440" s="6" t="inlineStr">
        <is>
          <t>国が許していい事じゃない</t>
        </is>
      </c>
      <c r="F440" s="6" t="inlineStr">
        <is>
          <t>못 알아들음</t>
        </is>
      </c>
      <c r="G440" s="6" t="inlineStr"/>
      <c r="H440" s="3" t="inlineStr">
        <is>
          <t>16歳で学校にも行かせないで / 悪魔と殺し合いさせるなんて / 国が許していい事じゃない</t>
        </is>
      </c>
      <c r="I440" s="4" t="n"/>
      <c r="J440" s="4" t="n"/>
      <c r="K440" s="4" t="n"/>
    </row>
    <row r="441">
      <c r="A441" s="2" t="n">
        <v>439</v>
      </c>
      <c r="B441" s="2" t="inlineStr">
        <is>
          <t>53:35.0</t>
        </is>
      </c>
      <c r="C441" s="2" t="inlineStr">
        <is>
          <t>일 그만둬</t>
        </is>
      </c>
      <c r="D441" s="5" t="inlineStr">
        <is>
          <t>옮김</t>
        </is>
      </c>
      <c r="E441" s="5" t="inlineStr">
        <is>
          <t>仕事やめて 私と一緒に逃げない？</t>
        </is>
      </c>
      <c r="F441" s="5" t="inlineStr">
        <is>
          <t>맞음</t>
        </is>
      </c>
      <c r="G441" s="5" t="inlineStr"/>
      <c r="H441" s="3" t="inlineStr">
        <is>
          <t>（デンジ）うーん… / 仕事やめて 私と一緒に逃げない？ / 仕事やめて 私と一緒に逃げない？</t>
        </is>
      </c>
      <c r="I441" s="4" t="n"/>
      <c r="J441" s="4" t="n"/>
      <c r="K441" s="4" t="n"/>
    </row>
    <row r="442">
      <c r="A442" s="2" t="n">
        <v>440</v>
      </c>
      <c r="B442" s="2" t="inlineStr">
        <is>
          <t>53:38.0</t>
        </is>
      </c>
      <c r="C442" s="2" t="inlineStr">
        <is>
          <t>나랑 같이 도망가자</t>
        </is>
      </c>
      <c r="D442" s="5" t="inlineStr">
        <is>
          <t>옮김</t>
        </is>
      </c>
      <c r="E442" s="5" t="inlineStr">
        <is>
          <t>仕事やめて 私と一緒に逃げない？</t>
        </is>
      </c>
      <c r="F442" s="5" t="inlineStr">
        <is>
          <t>맞음</t>
        </is>
      </c>
      <c r="G442" s="5" t="inlineStr"/>
      <c r="H442" s="3" t="inlineStr">
        <is>
          <t>（デンジ）うーん… / 仕事やめて 私と一緒に逃げない？ / 仕事やめて 私と一緒に逃げない？</t>
        </is>
      </c>
      <c r="I442" s="4" t="n"/>
      <c r="J442" s="4" t="n"/>
      <c r="K442" s="4" t="n"/>
    </row>
    <row r="443">
      <c r="A443" s="2" t="n">
        <v>441</v>
      </c>
      <c r="B443" s="2" t="inlineStr">
        <is>
          <t>53:44.1</t>
        </is>
      </c>
      <c r="C443" s="2" t="inlineStr">
        <is>
          <t>내가 덴지군은 행복하게 해줄게</t>
        </is>
      </c>
      <c r="D443" s="5" t="inlineStr">
        <is>
          <t>옮김</t>
        </is>
      </c>
      <c r="E443" s="5" t="inlineStr">
        <is>
          <t>私がデンジ君を 幸せにしてあげる</t>
        </is>
      </c>
      <c r="F443" s="5" t="inlineStr">
        <is>
          <t>맞음</t>
        </is>
      </c>
      <c r="G443" s="5" t="inlineStr"/>
      <c r="H443" s="3" t="inlineStr">
        <is>
          <t>仕事やめて 私と一緒に逃げない？ / 仕事やめて 私と一緒に逃げない？ / 私がデンジ君を 幸せにしてあげる</t>
        </is>
      </c>
      <c r="I443" s="4" t="n"/>
      <c r="J443" s="4" t="n"/>
      <c r="K443" s="4" t="n"/>
    </row>
    <row r="444">
      <c r="A444" s="2" t="n">
        <v>442</v>
      </c>
      <c r="B444" s="2" t="inlineStr">
        <is>
          <t>53:49.0</t>
        </is>
      </c>
      <c r="C444" s="2" t="inlineStr">
        <is>
          <t>一生 같이 守ってあげる 같이 지켜줄게</t>
        </is>
      </c>
      <c r="D444" s="5" t="inlineStr">
        <is>
          <t>따라함</t>
        </is>
      </c>
      <c r="E444" s="5" t="inlineStr">
        <is>
          <t>一生 守ってあげる</t>
        </is>
      </c>
      <c r="F444" s="5" t="inlineStr">
        <is>
          <t>맞음</t>
        </is>
      </c>
      <c r="G444" s="5" t="inlineStr">
        <is>
          <t>따라 하고 옮김</t>
        </is>
      </c>
      <c r="H444" s="3" t="inlineStr">
        <is>
          <t>仕事やめて 私と一緒に逃げない？ / 私がデンジ君を 幸せにしてあげる / 一生 守ってあげる</t>
        </is>
      </c>
      <c r="I444" s="4" t="n"/>
      <c r="J444" s="4" t="n"/>
      <c r="K444" s="4" t="n"/>
    </row>
    <row r="445">
      <c r="A445" s="2" t="n">
        <v>443</v>
      </c>
      <c r="B445" s="2" t="inlineStr">
        <is>
          <t>53:55.0</t>
        </is>
      </c>
      <c r="C445" s="2" t="inlineStr">
        <is>
          <t>おねがい</t>
        </is>
      </c>
      <c r="D445" s="5" t="inlineStr">
        <is>
          <t>따라함</t>
        </is>
      </c>
      <c r="E445" s="5" t="inlineStr">
        <is>
          <t>お願い</t>
        </is>
      </c>
      <c r="F445" s="5" t="inlineStr">
        <is>
          <t>맞음</t>
        </is>
      </c>
      <c r="G445" s="5" t="inlineStr"/>
      <c r="H445" s="3" t="inlineStr">
        <is>
          <t>私がデンジ君を 幸せにしてあげる / 一生 守ってあげる / お願い</t>
        </is>
      </c>
      <c r="I445" s="4" t="n"/>
      <c r="J445" s="4" t="n"/>
      <c r="K445" s="4" t="n"/>
    </row>
    <row r="446">
      <c r="A446" s="2" t="n">
        <v>444</v>
      </c>
      <c r="B446" s="2" t="inlineStr">
        <is>
          <t>53:56.7</t>
        </is>
      </c>
      <c r="C446" s="2" t="inlineStr">
        <is>
          <t>부탁이야</t>
        </is>
      </c>
      <c r="D446" s="5" t="inlineStr">
        <is>
          <t>옮김</t>
        </is>
      </c>
      <c r="E446" s="5" t="inlineStr">
        <is>
          <t>お願い</t>
        </is>
      </c>
      <c r="F446" s="5" t="inlineStr">
        <is>
          <t>맞음</t>
        </is>
      </c>
      <c r="G446" s="5" t="inlineStr"/>
      <c r="H446" s="3" t="inlineStr">
        <is>
          <t>私がデンジ君を 幸せにしてあげる / 一生 守ってあげる / お願い</t>
        </is>
      </c>
      <c r="I446" s="4" t="n"/>
      <c r="J446" s="4" t="n"/>
      <c r="K446" s="4" t="n"/>
    </row>
    <row r="447">
      <c r="A447" s="2" t="n">
        <v>445</v>
      </c>
      <c r="B447" s="2" t="inlineStr">
        <is>
          <t>54:04.3</t>
        </is>
      </c>
      <c r="C447" s="2" t="inlineStr">
        <is>
          <t>도망가다니 어디로</t>
        </is>
      </c>
      <c r="D447" s="5" t="inlineStr">
        <is>
          <t>옮김</t>
        </is>
      </c>
      <c r="E447" s="5" t="inlineStr">
        <is>
          <t>遠くに… 逃げるってどこに？</t>
        </is>
      </c>
      <c r="F447" s="5" t="inlineStr">
        <is>
          <t>맞음</t>
        </is>
      </c>
      <c r="G447" s="5" t="inlineStr"/>
      <c r="H447" s="3" t="inlineStr">
        <is>
          <t>一生 守ってあげる / お願い / 遠くに… 逃げるってどこに？</t>
        </is>
      </c>
      <c r="I447" s="4" t="n"/>
      <c r="J447" s="4" t="n"/>
      <c r="K447" s="4" t="n"/>
    </row>
    <row r="448">
      <c r="A448" s="2" t="n">
        <v>446</v>
      </c>
      <c r="B448" s="2" t="inlineStr">
        <is>
          <t>54:12.6</t>
        </is>
      </c>
      <c r="C448" s="2" t="inlineStr">
        <is>
          <t>공안이 모르는 장소가 있을 거야</t>
        </is>
      </c>
      <c r="D448" s="5" t="inlineStr">
        <is>
          <t>옮김</t>
        </is>
      </c>
      <c r="E448" s="5" t="inlineStr">
        <is>
          <t>絶対に公安から 見つからない場所があるの</t>
        </is>
      </c>
      <c r="F448" s="5" t="inlineStr">
        <is>
          <t>맞음</t>
        </is>
      </c>
      <c r="G448" s="5" t="inlineStr"/>
      <c r="H448" s="3" t="inlineStr">
        <is>
          <t>（レゼ）知り合いに頼めば / 絶対に公安から 見つからない場所があるの / そこだったら すぐは無理でも</t>
        </is>
      </c>
      <c r="I448" s="4" t="n"/>
      <c r="J448" s="4" t="n"/>
      <c r="K448" s="4" t="n"/>
    </row>
    <row r="449">
      <c r="A449" s="2" t="n">
        <v>447</v>
      </c>
      <c r="B449" s="2" t="inlineStr">
        <is>
          <t>54:17.3</t>
        </is>
      </c>
      <c r="C449" s="2" t="inlineStr">
        <is>
          <t>そこだって明日は無理でも</t>
        </is>
      </c>
      <c r="D449" s="7" t="inlineStr">
        <is>
          <t>따라함</t>
        </is>
      </c>
      <c r="E449" s="7" t="inlineStr">
        <is>
          <t>そこだったら すぐは無理でも</t>
        </is>
      </c>
      <c r="F449" s="7" t="inlineStr">
        <is>
          <t>대체로 맞음</t>
        </is>
      </c>
      <c r="G449" s="7" t="inlineStr">
        <is>
          <t>すぐ → 明日</t>
        </is>
      </c>
      <c r="H449" s="3" t="inlineStr">
        <is>
          <t>絶対に公安から 見つからない場所があるの / そこだったら すぐは無理でも / いつか一緒に 学校いけるよ</t>
        </is>
      </c>
      <c r="I449" s="4" t="n"/>
      <c r="J449" s="4" t="n"/>
      <c r="K449" s="4" t="n"/>
    </row>
    <row r="450">
      <c r="A450" s="2" t="n">
        <v>448</v>
      </c>
      <c r="B450" s="2" t="inlineStr">
        <is>
          <t>54:20.0</t>
        </is>
      </c>
      <c r="C450" s="2" t="inlineStr">
        <is>
          <t>거기에서 당장은 무리어도</t>
        </is>
      </c>
      <c r="D450" s="5" t="inlineStr">
        <is>
          <t>옮김</t>
        </is>
      </c>
      <c r="E450" s="5" t="inlineStr">
        <is>
          <t>そこだったら すぐは無理でも</t>
        </is>
      </c>
      <c r="F450" s="5" t="inlineStr">
        <is>
          <t>맞음</t>
        </is>
      </c>
      <c r="G450" s="5" t="inlineStr"/>
      <c r="H450" s="3" t="inlineStr">
        <is>
          <t>そこだったら すぐは無理でも / いつか一緒に 学校いけるよ / [시각추정] いつか一緒に 学校いけるよ</t>
        </is>
      </c>
      <c r="I450" s="4" t="n"/>
      <c r="J450" s="4" t="n"/>
      <c r="K450" s="4" t="n"/>
    </row>
    <row r="451">
      <c r="A451" s="2" t="n">
        <v>449</v>
      </c>
      <c r="B451" s="2" t="inlineStr">
        <is>
          <t>54:24.2</t>
        </is>
      </c>
      <c r="C451" s="2" t="inlineStr">
        <is>
          <t>언젠간 학교도 같이 갈 수 있을 거야</t>
        </is>
      </c>
      <c r="D451" s="5" t="inlineStr">
        <is>
          <t>옮김</t>
        </is>
      </c>
      <c r="E451" s="5" t="inlineStr">
        <is>
          <t>いつか一緒に 学校いけるよ</t>
        </is>
      </c>
      <c r="F451" s="5" t="inlineStr">
        <is>
          <t>맞음</t>
        </is>
      </c>
      <c r="G451" s="5" t="inlineStr"/>
      <c r="H451" s="3" t="inlineStr">
        <is>
          <t>そこだったら すぐは無理でも / いつか一緒に 学校いけるよ / [시각추정] いつか一緒に 学校いけるよ</t>
        </is>
      </c>
      <c r="I451" s="4" t="n"/>
      <c r="J451" s="4" t="n"/>
      <c r="K451" s="4" t="n"/>
    </row>
    <row r="452">
      <c r="A452" s="2" t="n">
        <v>450</v>
      </c>
      <c r="B452" s="2" t="inlineStr">
        <is>
          <t>54:32.0</t>
        </is>
      </c>
      <c r="C452" s="2" t="inlineStr">
        <is>
          <t>왜 레제가 그런 걸</t>
        </is>
      </c>
      <c r="D452" s="5" t="inlineStr">
        <is>
          <t>옮김</t>
        </is>
      </c>
      <c r="E452" s="5" t="inlineStr">
        <is>
          <t>なんでレゼがそんなコト…</t>
        </is>
      </c>
      <c r="F452" s="5" t="inlineStr">
        <is>
          <t>맞음</t>
        </is>
      </c>
      <c r="G452" s="5" t="inlineStr"/>
      <c r="H452" s="3" t="inlineStr">
        <is>
          <t>いつか一緒に 学校いけるよ / [시각추정] いつか一緒に 学校いけるよ / なんでレゼがそんなコト…</t>
        </is>
      </c>
      <c r="I452" s="4" t="n"/>
      <c r="J452" s="4" t="n"/>
      <c r="K452" s="4" t="n"/>
    </row>
    <row r="453">
      <c r="A453" s="2" t="n">
        <v>451</v>
      </c>
      <c r="B453" s="2" t="inlineStr">
        <is>
          <t>54:39.9</t>
        </is>
      </c>
      <c r="C453" s="3" t="inlineStr">
        <is>
          <t>어?!</t>
        </is>
      </c>
      <c r="D453" s="3" t="inlineStr">
        <is>
          <t>소리·감탄</t>
        </is>
      </c>
      <c r="E453" s="2" t="inlineStr"/>
      <c r="F453" s="2" t="inlineStr"/>
      <c r="G453" s="2" t="inlineStr"/>
      <c r="H453" s="3" t="inlineStr">
        <is>
          <t>なんでレゼがそんなコト… / （レゼ）だって私… / デンジ君が好きだから</t>
        </is>
      </c>
      <c r="I453" s="4" t="n"/>
      <c r="J453" s="4" t="n"/>
      <c r="K453" s="4" t="n"/>
    </row>
    <row r="454">
      <c r="A454" s="2" t="n">
        <v>452</v>
      </c>
      <c r="B454" s="2" t="inlineStr">
        <is>
          <t>54:47.0</t>
        </is>
      </c>
      <c r="C454" s="3" t="inlineStr">
        <is>
          <t>어??</t>
        </is>
      </c>
      <c r="D454" s="3" t="inlineStr">
        <is>
          <t>소리·감탄</t>
        </is>
      </c>
      <c r="E454" s="2" t="inlineStr"/>
      <c r="F454" s="2" t="inlineStr"/>
      <c r="G454" s="2" t="inlineStr"/>
      <c r="H454" s="3" t="inlineStr">
        <is>
          <t>（レゼ）だって私… / デンジ君が好きだから / （デンジ）んん</t>
        </is>
      </c>
      <c r="I454" s="4" t="n"/>
      <c r="J454" s="4" t="n"/>
      <c r="K454" s="4" t="n"/>
    </row>
    <row r="455">
      <c r="A455" s="2" t="n">
        <v>453</v>
      </c>
      <c r="B455" s="2" t="inlineStr">
        <is>
          <t>54:53.0</t>
        </is>
      </c>
      <c r="C455" s="2" t="inlineStr">
        <is>
          <t>悩んでいるの</t>
        </is>
      </c>
      <c r="D455" s="5" t="inlineStr">
        <is>
          <t>따라함</t>
        </is>
      </c>
      <c r="E455" s="5" t="inlineStr">
        <is>
          <t>なんでそんなに 悩んでいるの？</t>
        </is>
      </c>
      <c r="F455" s="5" t="inlineStr">
        <is>
          <t>맞음</t>
        </is>
      </c>
      <c r="G455" s="5" t="inlineStr">
        <is>
          <t>뒷부분</t>
        </is>
      </c>
      <c r="H455" s="3" t="inlineStr">
        <is>
          <t>デンジ君が好きだから / （デンジ）んん / なんでそんなに 悩んでいるの？</t>
        </is>
      </c>
      <c r="I455" s="4" t="n"/>
      <c r="J455" s="4" t="n"/>
      <c r="K455" s="4" t="n"/>
    </row>
    <row r="456">
      <c r="A456" s="2" t="n">
        <v>454</v>
      </c>
      <c r="B456" s="2" t="inlineStr">
        <is>
          <t>54:55.0</t>
        </is>
      </c>
      <c r="C456" s="2" t="inlineStr">
        <is>
          <t>어 뭔지 모르겠어</t>
        </is>
      </c>
      <c r="D456" s="6" t="inlineStr">
        <is>
          <t>못알아들음</t>
        </is>
      </c>
      <c r="E456" s="6" t="inlineStr">
        <is>
          <t>なんでそんなに 悩んでいるの？</t>
        </is>
      </c>
      <c r="F456" s="6" t="inlineStr">
        <is>
          <t>못 알아들음</t>
        </is>
      </c>
      <c r="G456" s="6" t="inlineStr">
        <is>
          <t>悩む</t>
        </is>
      </c>
      <c r="H456" s="3" t="inlineStr">
        <is>
          <t>デンジ君が好きだから / （デンジ）んん / なんでそんなに 悩んでいるの？</t>
        </is>
      </c>
      <c r="I456" s="4" t="n"/>
      <c r="J456" s="4" t="n"/>
      <c r="K456" s="4" t="n"/>
    </row>
    <row r="457">
      <c r="A457" s="2" t="n">
        <v>455</v>
      </c>
      <c r="B457" s="2" t="inlineStr">
        <is>
          <t>55:01.0</t>
        </is>
      </c>
      <c r="C457" s="2" t="inlineStr">
        <is>
          <t>내가 싫어?</t>
        </is>
      </c>
      <c r="D457" s="5" t="inlineStr">
        <is>
          <t>옮김</t>
        </is>
      </c>
      <c r="E457" s="5" t="inlineStr">
        <is>
          <t>デンジ君は私の事 嫌い？</t>
        </is>
      </c>
      <c r="F457" s="5" t="inlineStr">
        <is>
          <t>맞음</t>
        </is>
      </c>
      <c r="G457" s="5" t="inlineStr"/>
      <c r="H457" s="3" t="inlineStr">
        <is>
          <t>デンジ君は私の事 嫌い？ / 好きイ！ / 好きイ！</t>
        </is>
      </c>
      <c r="I457" s="4" t="n"/>
      <c r="J457" s="4" t="n"/>
      <c r="K457" s="4" t="n"/>
    </row>
    <row r="458">
      <c r="A458" s="2" t="n">
        <v>456</v>
      </c>
      <c r="B458" s="2" t="inlineStr">
        <is>
          <t>55:03.3</t>
        </is>
      </c>
      <c r="C458" s="2" t="inlineStr">
        <is>
          <t>好き</t>
        </is>
      </c>
      <c r="D458" s="5" t="inlineStr">
        <is>
          <t>따라함</t>
        </is>
      </c>
      <c r="E458" s="5" t="inlineStr">
        <is>
          <t>好きイ！</t>
        </is>
      </c>
      <c r="F458" s="5" t="inlineStr">
        <is>
          <t>맞음</t>
        </is>
      </c>
      <c r="G458" s="5" t="inlineStr"/>
      <c r="H458" s="3" t="inlineStr">
        <is>
          <t>デンジ君は私の事 嫌い？ / 好きイ！ / 好きイ！</t>
        </is>
      </c>
      <c r="I458" s="4" t="n"/>
      <c r="J458" s="4" t="n"/>
      <c r="K458" s="4" t="n"/>
    </row>
    <row r="459">
      <c r="A459" s="2" t="n">
        <v>457</v>
      </c>
      <c r="B459" s="2" t="inlineStr">
        <is>
          <t>55:23.0</t>
        </is>
      </c>
      <c r="C459" s="3" t="inlineStr">
        <is>
          <t>음 그러니까</t>
        </is>
      </c>
      <c r="D459" s="3" t="inlineStr">
        <is>
          <t>반응·혼잣말</t>
        </is>
      </c>
      <c r="E459" s="2" t="inlineStr"/>
      <c r="F459" s="2" t="inlineStr"/>
      <c r="G459" s="2" t="inlineStr"/>
      <c r="H459" s="3" t="inlineStr">
        <is>
          <t>糞みたいな性格んバディの 扱い方もだんだん わかってきた / それにイヤ～な先輩とも やっと仲良くなってきたんだ / [시각추정] 仕事の目標みてえなモンも 見つけてさ</t>
        </is>
      </c>
      <c r="I459" s="4" t="n"/>
      <c r="J459" s="4" t="n"/>
      <c r="K459" s="4" t="n"/>
    </row>
    <row r="460">
      <c r="A460" s="2" t="n">
        <v>458</v>
      </c>
      <c r="B460" s="2" t="inlineStr">
        <is>
          <t>55:28.5</t>
        </is>
      </c>
      <c r="C460" s="2" t="inlineStr">
        <is>
          <t>싫어했던 선생이랑도 잘 되고 있고</t>
        </is>
      </c>
      <c r="D460" s="7" t="inlineStr">
        <is>
          <t>옮김</t>
        </is>
      </c>
      <c r="E460" s="7" t="inlineStr">
        <is>
          <t>それにイヤ～な先輩とも やっと仲良くなってきたんだ</t>
        </is>
      </c>
      <c r="F460" s="7" t="inlineStr">
        <is>
          <t>대체로 맞음</t>
        </is>
      </c>
      <c r="G460" s="7" t="inlineStr">
        <is>
          <t>先輩 → 선생</t>
        </is>
      </c>
      <c r="H460" s="3" t="inlineStr">
        <is>
          <t>糞みたいな性格んバディの 扱い方もだんだん わかってきた / それにイヤ～な先輩とも やっと仲良くなってきたんだ / [시각추정] 仕事の目標みてえなモンも 見つけてさ</t>
        </is>
      </c>
      <c r="I460" s="4" t="n"/>
      <c r="J460" s="4" t="n"/>
      <c r="K460" s="4" t="n"/>
    </row>
    <row r="461">
      <c r="A461" s="2" t="n">
        <v>459</v>
      </c>
      <c r="B461" s="2" t="inlineStr">
        <is>
          <t>55:32.1</t>
        </is>
      </c>
      <c r="C461" s="2" t="inlineStr">
        <is>
          <t>다음에 버디랑도 잘 되고 있고</t>
        </is>
      </c>
      <c r="D461" s="7" t="inlineStr">
        <is>
          <t>옮김</t>
        </is>
      </c>
      <c r="E461" s="7" t="inlineStr">
        <is>
          <t>糞みたいな性格んバディの 扱い方もだんだん わかってきた</t>
        </is>
      </c>
      <c r="F461" s="7" t="inlineStr">
        <is>
          <t>대체로 맞음</t>
        </is>
      </c>
      <c r="G461" s="7" t="inlineStr"/>
      <c r="H461" s="3" t="inlineStr">
        <is>
          <t>糞みたいな性格んバディの 扱い方もだんだん わかってきた / それにイヤ～な先輩とも やっと仲良くなってきたんだ / [시각추정] 仕事の目標みてえなモンも 見つけてさ</t>
        </is>
      </c>
      <c r="I461" s="4" t="n"/>
      <c r="J461" s="4" t="n"/>
      <c r="K461" s="4" t="n"/>
    </row>
    <row r="462">
      <c r="A462" s="2" t="n">
        <v>460</v>
      </c>
      <c r="B462" s="2" t="inlineStr">
        <is>
          <t>55:41.0</t>
        </is>
      </c>
      <c r="C462" s="2" t="inlineStr">
        <is>
          <t>이제 좀 재밌다는 거군</t>
        </is>
      </c>
      <c r="D462" s="5" t="inlineStr">
        <is>
          <t>옮김</t>
        </is>
      </c>
      <c r="E462" s="5" t="inlineStr">
        <is>
          <t>だんだん楽しく なってきてんだ 今…</t>
        </is>
      </c>
      <c r="F462" s="5" t="inlineStr">
        <is>
          <t>맞음</t>
        </is>
      </c>
      <c r="G462" s="5" t="inlineStr"/>
      <c r="H462" s="3" t="inlineStr">
        <is>
          <t>だんだん楽しく なってきてんだ 今… / ここで仕事続けながら / レゼと会うのじゃダメなの？</t>
        </is>
      </c>
      <c r="I462" s="4" t="n"/>
      <c r="J462" s="4" t="n"/>
      <c r="K462" s="4" t="n"/>
    </row>
    <row r="463">
      <c r="A463" s="2" t="n">
        <v>461</v>
      </c>
      <c r="B463" s="2" t="inlineStr">
        <is>
          <t>55:47.0</t>
        </is>
      </c>
      <c r="C463" s="2" t="inlineStr">
        <is>
          <t>일을 계속 하면서 레제랑 만나는 건 안 되냐</t>
        </is>
      </c>
      <c r="D463" s="5" t="inlineStr">
        <is>
          <t>옮김</t>
        </is>
      </c>
      <c r="E463" s="5" t="inlineStr">
        <is>
          <t>ここで仕事続けながら レゼと会うのじゃダメなの？</t>
        </is>
      </c>
      <c r="F463" s="5" t="inlineStr">
        <is>
          <t>맞음</t>
        </is>
      </c>
      <c r="G463" s="5" t="inlineStr"/>
      <c r="H463" s="3" t="inlineStr">
        <is>
          <t>だんだん楽しく なってきてんだ 今… / ここで仕事続けながら / レゼと会うのじゃダメなの？</t>
        </is>
      </c>
      <c r="I463" s="4" t="n"/>
      <c r="J463" s="4" t="n"/>
      <c r="K463" s="4" t="n"/>
    </row>
    <row r="464">
      <c r="A464" s="2" t="n">
        <v>462</v>
      </c>
      <c r="B464" s="2" t="inlineStr">
        <is>
          <t>55:59.4</t>
        </is>
      </c>
      <c r="C464" s="2" t="inlineStr">
        <is>
          <t>そっか</t>
        </is>
      </c>
      <c r="D464" s="5" t="inlineStr">
        <is>
          <t>따라함</t>
        </is>
      </c>
      <c r="E464" s="5" t="inlineStr">
        <is>
          <t>（レゼ）そっか　わかった</t>
        </is>
      </c>
      <c r="F464" s="5" t="inlineStr">
        <is>
          <t>맞음</t>
        </is>
      </c>
      <c r="G464" s="5" t="inlineStr"/>
      <c r="H464" s="3" t="inlineStr">
        <is>
          <t>レゼと会うのじゃダメなの？ / （アナウンス）花火大会 間もなく始まります / （レゼ）そっか　わかった</t>
        </is>
      </c>
      <c r="I464" s="4" t="n"/>
      <c r="J464" s="4" t="n"/>
      <c r="K464" s="4" t="n"/>
    </row>
    <row r="465">
      <c r="A465" s="2" t="n">
        <v>463</v>
      </c>
      <c r="B465" s="2" t="inlineStr">
        <is>
          <t>56:01.3</t>
        </is>
      </c>
      <c r="C465" s="2" t="inlineStr">
        <is>
          <t>알았어</t>
        </is>
      </c>
      <c r="D465" s="5" t="inlineStr">
        <is>
          <t>옮김</t>
        </is>
      </c>
      <c r="E465" s="5" t="inlineStr">
        <is>
          <t>（レゼ）そっか　わかった</t>
        </is>
      </c>
      <c r="F465" s="5" t="inlineStr">
        <is>
          <t>맞음</t>
        </is>
      </c>
      <c r="G465" s="5" t="inlineStr"/>
      <c r="H465" s="3" t="inlineStr">
        <is>
          <t>レゼと会うのじゃダメなの？ / （アナウンス）花火大会 間もなく始まります / （レゼ）そっか　わかった</t>
        </is>
      </c>
      <c r="I465" s="4" t="n"/>
      <c r="J465" s="4" t="n"/>
      <c r="K465" s="4" t="n"/>
    </row>
    <row r="466">
      <c r="A466" s="2" t="n">
        <v>464</v>
      </c>
      <c r="B466" s="2" t="inlineStr">
        <is>
          <t>56:16.0</t>
        </is>
      </c>
      <c r="C466" s="3" t="inlineStr">
        <is>
          <t>걸렸다</t>
        </is>
      </c>
      <c r="D466" s="3" t="inlineStr">
        <is>
          <t>반응·혼잣말</t>
        </is>
      </c>
      <c r="E466" s="2" t="inlineStr"/>
      <c r="F466" s="2" t="inlineStr"/>
      <c r="G466" s="2" t="inlineStr"/>
      <c r="H466" s="3" t="inlineStr">
        <is>
          <t>好きな人いるでしょ / [시각추정] え？ / [시각추정] （観客）おおー</t>
        </is>
      </c>
      <c r="I466" s="4" t="n"/>
      <c r="J466" s="4" t="n"/>
      <c r="K466" s="4" t="n"/>
    </row>
    <row r="467">
      <c r="A467" s="2" t="n">
        <v>465</v>
      </c>
      <c r="B467" s="2" t="inlineStr">
        <is>
          <t>56:24.0</t>
        </is>
      </c>
      <c r="C467" s="3" t="inlineStr">
        <is>
          <t>아니 저런 질문하고 씨발 키스를 한다고?</t>
        </is>
      </c>
      <c r="D467" s="3" t="inlineStr">
        <is>
          <t>반응·혼잣말</t>
        </is>
      </c>
      <c r="E467" s="2" t="inlineStr"/>
      <c r="F467" s="2" t="inlineStr"/>
      <c r="G467" s="2" t="inlineStr"/>
      <c r="H467" s="3" t="inlineStr">
        <is>
          <t>好きな人いるでしょ / [시각추정] え？ / [시각추정] （観客）おおー</t>
        </is>
      </c>
      <c r="I467" s="4" t="n"/>
      <c r="J467" s="4" t="n"/>
      <c r="K467" s="4" t="n"/>
    </row>
    <row r="468">
      <c r="A468" s="2" t="n">
        <v>466</v>
      </c>
      <c r="B468" s="2" t="inlineStr">
        <is>
          <t>56:41.0</t>
        </is>
      </c>
      <c r="C468" s="3" t="inlineStr">
        <is>
          <t>아 불길하죠</t>
        </is>
      </c>
      <c r="D468" s="3" t="inlineStr">
        <is>
          <t>반응·혼잣말</t>
        </is>
      </c>
      <c r="E468" s="2" t="inlineStr"/>
      <c r="F468" s="2" t="inlineStr"/>
      <c r="G468" s="2" t="inlineStr"/>
      <c r="H468" s="3" t="inlineStr">
        <is>
          <t>（女の子）わ～ / フフッ / あ あぁっ！</t>
        </is>
      </c>
      <c r="I468" s="4" t="n"/>
      <c r="J468" s="4" t="n"/>
      <c r="K468" s="4" t="n"/>
    </row>
    <row r="469">
      <c r="A469" s="2" t="n">
        <v>467</v>
      </c>
      <c r="B469" s="2" t="inlineStr">
        <is>
          <t>57:09.0</t>
        </is>
      </c>
      <c r="C469" s="3" t="inlineStr">
        <is>
          <t>혀야?</t>
        </is>
      </c>
      <c r="D469" s="3" t="inlineStr">
        <is>
          <t>반응·혼잣말</t>
        </is>
      </c>
      <c r="E469" s="2" t="inlineStr"/>
      <c r="F469" s="2" t="inlineStr"/>
      <c r="G469" s="2" t="inlineStr"/>
      <c r="H469" s="3" t="inlineStr">
        <is>
          <t>あ あぁっ！ / （デンジ）あ… は…</t>
        </is>
      </c>
      <c r="I469" s="4" t="n"/>
      <c r="J469" s="4" t="n"/>
      <c r="K469" s="4" t="n"/>
    </row>
    <row r="470">
      <c r="A470" s="2" t="n">
        <v>468</v>
      </c>
      <c r="B470" s="2" t="inlineStr">
        <is>
          <t>57:26.0</t>
        </is>
      </c>
      <c r="C470" s="3" t="inlineStr">
        <is>
          <t>아 이래서 씨발 가까이 오는 여자 무섭다니까</t>
        </is>
      </c>
      <c r="D470" s="3" t="inlineStr">
        <is>
          <t>반응·혼잣말</t>
        </is>
      </c>
      <c r="E470" s="2" t="inlineStr"/>
      <c r="F470" s="2" t="inlineStr"/>
      <c r="G470" s="2" t="inlineStr"/>
      <c r="H470" s="3" t="inlineStr">
        <is>
          <t>うっ… あっ / ああっ… / あ… は…</t>
        </is>
      </c>
      <c r="I470" s="4" t="n"/>
      <c r="J470" s="4" t="n"/>
      <c r="K470" s="4" t="n"/>
    </row>
    <row r="471">
      <c r="A471" s="2" t="n">
        <v>469</v>
      </c>
      <c r="B471" s="2" t="inlineStr">
        <is>
          <t>57:29.5</t>
        </is>
      </c>
      <c r="C471" s="3" t="inlineStr">
        <is>
          <t>조심해야 된다니까</t>
        </is>
      </c>
      <c r="D471" s="3" t="inlineStr">
        <is>
          <t>반응·혼잣말</t>
        </is>
      </c>
      <c r="E471" s="2" t="inlineStr"/>
      <c r="F471" s="2" t="inlineStr"/>
      <c r="G471" s="2" t="inlineStr"/>
      <c r="H471" s="3" t="inlineStr">
        <is>
          <t>うっ… あっ / ああっ… / あ… は…</t>
        </is>
      </c>
      <c r="I471" s="4" t="n"/>
      <c r="J471" s="4" t="n"/>
      <c r="K471" s="4" t="n"/>
    </row>
    <row r="472">
      <c r="A472" s="2" t="n">
        <v>470</v>
      </c>
      <c r="B472" s="2" t="inlineStr">
        <is>
          <t>57:33.0</t>
        </is>
      </c>
      <c r="C472" s="3" t="inlineStr">
        <is>
          <t>가까이 오는 여자 조심해야 돼요</t>
        </is>
      </c>
      <c r="D472" s="3" t="inlineStr">
        <is>
          <t>반응·혼잣말</t>
        </is>
      </c>
      <c r="E472" s="2" t="inlineStr"/>
      <c r="F472" s="2" t="inlineStr"/>
      <c r="G472" s="2" t="inlineStr"/>
      <c r="H472" s="3" t="inlineStr">
        <is>
          <t>あ… は… / あ… あ… / （レゼ）痛いね？　ごめんね？</t>
        </is>
      </c>
      <c r="I472" s="4" t="n"/>
      <c r="J472" s="4" t="n"/>
      <c r="K472" s="4" t="n"/>
    </row>
    <row r="473">
      <c r="A473" s="2" t="n">
        <v>471</v>
      </c>
      <c r="B473" s="2" t="inlineStr">
        <is>
          <t>57:38.0</t>
        </is>
      </c>
      <c r="C473" s="3" t="inlineStr">
        <is>
          <t>어 씨발</t>
        </is>
      </c>
      <c r="D473" s="3" t="inlineStr">
        <is>
          <t>반응·혼잣말</t>
        </is>
      </c>
      <c r="E473" s="2" t="inlineStr"/>
      <c r="F473" s="2" t="inlineStr"/>
      <c r="G473" s="2" t="inlineStr"/>
      <c r="H473" s="3" t="inlineStr">
        <is>
          <t>あ… は… / あ… あ… / （レゼ）痛いね？　ごめんね？</t>
        </is>
      </c>
      <c r="I473" s="4" t="n"/>
      <c r="J473" s="4" t="n"/>
      <c r="K473" s="4" t="n"/>
    </row>
    <row r="474">
      <c r="A474" s="2" t="n">
        <v>472</v>
      </c>
      <c r="B474" s="2" t="inlineStr">
        <is>
          <t>57:43.9</t>
        </is>
      </c>
      <c r="C474" s="3" t="inlineStr">
        <is>
          <t>아 뭐 피를 마시는 건가?</t>
        </is>
      </c>
      <c r="D474" s="3" t="inlineStr">
        <is>
          <t>반응·혼잣말</t>
        </is>
      </c>
      <c r="E474" s="2" t="inlineStr"/>
      <c r="F474" s="2" t="inlineStr"/>
      <c r="G474" s="2" t="inlineStr"/>
      <c r="H474" s="3" t="inlineStr">
        <is>
          <t>あ… は… / あ… あ… / （レゼ）痛いね？　ごめんね？</t>
        </is>
      </c>
      <c r="I474" s="4" t="n"/>
      <c r="J474" s="4" t="n"/>
      <c r="K474" s="4" t="n"/>
    </row>
    <row r="475">
      <c r="A475" s="2" t="n">
        <v>473</v>
      </c>
      <c r="B475" s="2" t="inlineStr">
        <is>
          <t>57:48.0</t>
        </is>
      </c>
      <c r="C475" s="2" t="inlineStr">
        <is>
          <t>デンジ君の心臓もらうね</t>
        </is>
      </c>
      <c r="D475" s="5" t="inlineStr">
        <is>
          <t>따라함</t>
        </is>
      </c>
      <c r="E475" s="5" t="inlineStr">
        <is>
          <t>デンジ君の心臓 貰うね？</t>
        </is>
      </c>
      <c r="F475" s="5" t="inlineStr">
        <is>
          <t>맞음</t>
        </is>
      </c>
      <c r="G475" s="5" t="inlineStr"/>
      <c r="H475" s="3" t="inlineStr">
        <is>
          <t>あ… あ… / （レゼ）痛いね？　ごめんね？ / デンジ君の心臓 貰うね？</t>
        </is>
      </c>
      <c r="I475" s="4" t="n"/>
      <c r="J475" s="4" t="n"/>
      <c r="K475" s="4" t="n"/>
    </row>
    <row r="476">
      <c r="A476" s="2" t="n">
        <v>474</v>
      </c>
      <c r="B476" s="2" t="inlineStr">
        <is>
          <t>57:51.0</t>
        </is>
      </c>
      <c r="C476" s="2" t="inlineStr">
        <is>
          <t>덴지군의 심장 가져간다고</t>
        </is>
      </c>
      <c r="D476" s="5" t="inlineStr">
        <is>
          <t>옮김</t>
        </is>
      </c>
      <c r="E476" s="5" t="inlineStr">
        <is>
          <t>デンジ君の心臓 貰うね？</t>
        </is>
      </c>
      <c r="F476" s="5" t="inlineStr">
        <is>
          <t>맞음</t>
        </is>
      </c>
      <c r="G476" s="5" t="inlineStr"/>
      <c r="H476" s="3" t="inlineStr">
        <is>
          <t>あ… あ… / （レゼ）痛いね？　ごめんね？ / デンジ君の心臓 貰うね？</t>
        </is>
      </c>
      <c r="I476" s="4" t="n"/>
      <c r="J476" s="4" t="n"/>
      <c r="K476" s="4" t="n"/>
    </row>
    <row r="477">
      <c r="A477" s="2" t="n">
        <v>475</v>
      </c>
      <c r="B477" s="2" t="inlineStr">
        <is>
          <t>57:53.2</t>
        </is>
      </c>
      <c r="C477" s="2" t="inlineStr">
        <is>
          <t>받아갈게</t>
        </is>
      </c>
      <c r="D477" s="5" t="inlineStr">
        <is>
          <t>옮김</t>
        </is>
      </c>
      <c r="E477" s="5" t="inlineStr">
        <is>
          <t>デンジ君の心臓 貰うね？</t>
        </is>
      </c>
      <c r="F477" s="5" t="inlineStr">
        <is>
          <t>맞음</t>
        </is>
      </c>
      <c r="G477" s="5" t="inlineStr"/>
      <c r="H477" s="3" t="inlineStr">
        <is>
          <t>あ… あ… / （レゼ）痛いね？　ごめんね？ / デンジ君の心臓 貰うね？</t>
        </is>
      </c>
      <c r="I477" s="4" t="n"/>
      <c r="J477" s="4" t="n"/>
      <c r="K477" s="4" t="n"/>
    </row>
    <row r="478">
      <c r="A478" s="2" t="n">
        <v>476</v>
      </c>
      <c r="B478" s="2" t="inlineStr">
        <is>
          <t>58:02.9</t>
        </is>
      </c>
      <c r="C478" s="3" t="inlineStr">
        <is>
          <t>이야~</t>
        </is>
      </c>
      <c r="D478" s="3" t="inlineStr">
        <is>
          <t>반응·혼잣말</t>
        </is>
      </c>
      <c r="E478" s="2" t="inlineStr"/>
      <c r="F478" s="2" t="inlineStr"/>
      <c r="G478" s="2" t="inlineStr"/>
      <c r="H478" s="3" t="inlineStr">
        <is>
          <t>（ビーム）うわああああ / ダッシュ!! / え!?</t>
        </is>
      </c>
      <c r="I478" s="4" t="n"/>
      <c r="J478" s="4" t="n"/>
      <c r="K478" s="4" t="n"/>
    </row>
    <row r="479">
      <c r="A479" s="2" t="n">
        <v>477</v>
      </c>
      <c r="B479" s="2" t="inlineStr">
        <is>
          <t>58:07.0</t>
        </is>
      </c>
      <c r="C479" s="3" t="inlineStr">
        <is>
          <t>와(하품하면서) 씨발 무서워</t>
        </is>
      </c>
      <c r="D479" s="3" t="inlineStr">
        <is>
          <t>반응·혼잣말</t>
        </is>
      </c>
      <c r="E479" s="2" t="inlineStr"/>
      <c r="F479" s="2" t="inlineStr"/>
      <c r="G479" s="2" t="inlineStr"/>
      <c r="H479" s="3" t="inlineStr">
        <is>
          <t>（ビーム）うわああああ / ダッシュ!! / え!?</t>
        </is>
      </c>
      <c r="I479" s="4" t="n"/>
      <c r="J479" s="4" t="n"/>
      <c r="K479" s="4" t="n"/>
    </row>
    <row r="480">
      <c r="A480" s="2" t="n">
        <v>478</v>
      </c>
      <c r="B480" s="2" t="inlineStr">
        <is>
          <t>58:10.2</t>
        </is>
      </c>
      <c r="C480" s="3" t="inlineStr">
        <is>
          <t>무서워 무서워</t>
        </is>
      </c>
      <c r="D480" s="3" t="inlineStr">
        <is>
          <t>반응·혼잣말</t>
        </is>
      </c>
      <c r="E480" s="2" t="inlineStr"/>
      <c r="F480" s="2" t="inlineStr"/>
      <c r="G480" s="2" t="inlineStr"/>
      <c r="H480" s="3" t="inlineStr">
        <is>
          <t>ダッシュ!! / え!? / （ビーム） にげろにげろにげろにげろ</t>
        </is>
      </c>
      <c r="I480" s="4" t="n"/>
      <c r="J480" s="4" t="n"/>
      <c r="K480" s="4" t="n"/>
    </row>
    <row r="481">
      <c r="A481" s="2" t="n">
        <v>479</v>
      </c>
      <c r="B481" s="2" t="inlineStr">
        <is>
          <t>58:17.8</t>
        </is>
      </c>
      <c r="C481" s="2" t="inlineStr">
        <is>
          <t>아 냄새로 못 알아차렸다고</t>
        </is>
      </c>
      <c r="D481" s="5" t="inlineStr">
        <is>
          <t>옮김</t>
        </is>
      </c>
      <c r="E481" s="5" t="inlineStr">
        <is>
          <t>なんで匂いで気づかなかった！ ビィーム!!</t>
        </is>
      </c>
      <c r="F481" s="5" t="inlineStr">
        <is>
          <t>맞음</t>
        </is>
      </c>
      <c r="G481" s="5" t="inlineStr"/>
      <c r="H481" s="3" t="inlineStr">
        <is>
          <t>ヤヴァヤヴァヤヴァヤヴァヤヴァ / なんで匂いで気づかなかった！ ビィーム!! / アイツ ヤバいです チェンソー様！</t>
        </is>
      </c>
      <c r="I481" s="4" t="n"/>
      <c r="J481" s="4" t="n"/>
      <c r="K481" s="4" t="n"/>
    </row>
    <row r="482">
      <c r="A482" s="2" t="n">
        <v>480</v>
      </c>
      <c r="B482" s="2" t="inlineStr">
        <is>
          <t>58:30.0</t>
        </is>
      </c>
      <c r="C482" s="2" t="inlineStr">
        <is>
          <t>폭탄</t>
        </is>
      </c>
      <c r="D482" s="5" t="inlineStr">
        <is>
          <t>옮김</t>
        </is>
      </c>
      <c r="E482" s="5" t="inlineStr">
        <is>
          <t>ボムだああああああ！</t>
        </is>
      </c>
      <c r="F482" s="5" t="inlineStr">
        <is>
          <t>맞음</t>
        </is>
      </c>
      <c r="G482" s="5" t="inlineStr"/>
      <c r="H482" s="3" t="inlineStr">
        <is>
          <t>アイツ ヤバいです チェンソー様！ / あん匂い！　あいつ / ボムだああああああ！</t>
        </is>
      </c>
      <c r="I482" s="4" t="n"/>
      <c r="J482" s="4" t="n"/>
      <c r="K482" s="4" t="n"/>
    </row>
    <row r="483">
      <c r="A483" s="2" t="n">
        <v>481</v>
      </c>
      <c r="B483" s="2" t="inlineStr">
        <is>
          <t>58:34.0</t>
        </is>
      </c>
      <c r="C483" s="2" t="inlineStr">
        <is>
          <t>Bomb~!</t>
        </is>
      </c>
      <c r="D483" s="5" t="inlineStr">
        <is>
          <t>따라함</t>
        </is>
      </c>
      <c r="E483" s="5" t="inlineStr">
        <is>
          <t>ボムだああああああ！</t>
        </is>
      </c>
      <c r="F483" s="5" t="inlineStr">
        <is>
          <t>맞음</t>
        </is>
      </c>
      <c r="G483" s="5" t="inlineStr"/>
      <c r="H483" s="3" t="inlineStr">
        <is>
          <t>あん匂い！　あいつ / ボムだああああああ！ / （レゼ）ボンっ</t>
        </is>
      </c>
      <c r="I483" s="4" t="n"/>
      <c r="J483" s="4" t="n"/>
      <c r="K483" s="4" t="n"/>
    </row>
    <row r="484">
      <c r="A484" s="2" t="n">
        <v>482</v>
      </c>
      <c r="B484" s="2" t="inlineStr">
        <is>
          <t>58:37.3</t>
        </is>
      </c>
      <c r="C484" s="3" t="inlineStr">
        <is>
          <t>아 저게 그거였어</t>
        </is>
      </c>
      <c r="D484" s="3" t="inlineStr">
        <is>
          <t>반응·혼잣말</t>
        </is>
      </c>
      <c r="E484" s="2" t="inlineStr"/>
      <c r="F484" s="2" t="inlineStr"/>
      <c r="G484" s="2" t="inlineStr"/>
      <c r="H484" s="3" t="inlineStr">
        <is>
          <t>あん匂い！　あいつ / ボムだああああああ！ / （レゼ）ボンっ</t>
        </is>
      </c>
      <c r="I484" s="4" t="n"/>
      <c r="J484" s="4" t="n"/>
      <c r="K484" s="4" t="n"/>
    </row>
    <row r="485">
      <c r="A485" s="2" t="n">
        <v>483</v>
      </c>
      <c r="B485" s="2" t="inlineStr">
        <is>
          <t>58:58.0</t>
        </is>
      </c>
      <c r="C485" s="3" t="inlineStr">
        <is>
          <t>아 이쁜 얼굴 없어졌네</t>
        </is>
      </c>
      <c r="D485" s="3" t="inlineStr">
        <is>
          <t>반응·혼잣말</t>
        </is>
      </c>
      <c r="E485" s="2" t="inlineStr"/>
      <c r="F485" s="2" t="inlineStr"/>
      <c r="G485" s="2" t="inlineStr"/>
      <c r="H485" s="3" t="inlineStr">
        <is>
          <t>ボムだああああああ！ / （レゼ）ボンっ / 泥棒</t>
        </is>
      </c>
      <c r="I485" s="4" t="n"/>
      <c r="J485" s="4" t="n"/>
      <c r="K485" s="4" t="n"/>
    </row>
    <row r="486">
      <c r="A486" s="2" t="n">
        <v>484</v>
      </c>
      <c r="B486" s="2" t="inlineStr">
        <is>
          <t>59:01.0</t>
        </is>
      </c>
      <c r="C486" s="2" t="inlineStr">
        <is>
          <t>도둑놈</t>
        </is>
      </c>
      <c r="D486" s="5" t="inlineStr">
        <is>
          <t>옮김</t>
        </is>
      </c>
      <c r="E486" s="5" t="inlineStr">
        <is>
          <t>泥棒</t>
        </is>
      </c>
      <c r="F486" s="5" t="inlineStr">
        <is>
          <t>맞음</t>
        </is>
      </c>
      <c r="G486" s="5" t="inlineStr"/>
      <c r="H486" s="3" t="inlineStr">
        <is>
          <t>（レゼ）ボンっ / 泥棒</t>
        </is>
      </c>
      <c r="I486" s="4" t="n"/>
      <c r="J486" s="4" t="n"/>
      <c r="K486" s="4" t="n"/>
    </row>
    <row r="487">
      <c r="A487" s="2" t="n">
        <v>485</v>
      </c>
      <c r="B487" s="2" t="inlineStr">
        <is>
          <t>59:07.0</t>
        </is>
      </c>
      <c r="C487" s="3" t="inlineStr">
        <is>
          <t>아 근데 폭탄이면 좀 세겠네</t>
        </is>
      </c>
      <c r="D487" s="3" t="inlineStr">
        <is>
          <t>반응·혼잣말</t>
        </is>
      </c>
      <c r="E487" s="2" t="inlineStr"/>
      <c r="F487" s="2" t="inlineStr"/>
      <c r="G487" s="2" t="inlineStr"/>
      <c r="H487" s="3" t="inlineStr">
        <is>
          <t>泥棒</t>
        </is>
      </c>
      <c r="I487" s="4" t="n"/>
      <c r="J487" s="4" t="n"/>
      <c r="K487" s="4" t="n"/>
    </row>
    <row r="488">
      <c r="A488" s="2" t="n">
        <v>486</v>
      </c>
      <c r="B488" s="2" t="inlineStr">
        <is>
          <t>59:16.1</t>
        </is>
      </c>
      <c r="C488" s="3" t="inlineStr">
        <is>
          <t>와우</t>
        </is>
      </c>
      <c r="D488" s="3" t="inlineStr">
        <is>
          <t>반응·혼잣말</t>
        </is>
      </c>
      <c r="E488" s="2" t="inlineStr"/>
      <c r="F488" s="2" t="inlineStr"/>
      <c r="G488" s="2" t="inlineStr"/>
      <c r="H488" s="3" t="inlineStr">
        <is>
          <t>泥棒</t>
        </is>
      </c>
      <c r="I488" s="4" t="n"/>
      <c r="J488" s="4" t="n"/>
      <c r="K488" s="4" t="n"/>
    </row>
    <row r="489">
      <c r="A489" s="2" t="n">
        <v>487</v>
      </c>
      <c r="B489" s="2" t="inlineStr">
        <is>
          <t>59:20.0</t>
        </is>
      </c>
      <c r="C489" s="3" t="inlineStr">
        <is>
          <t>존내 빠르네</t>
        </is>
      </c>
      <c r="D489" s="3" t="inlineStr">
        <is>
          <t>반응·혼잣말</t>
        </is>
      </c>
      <c r="E489" s="2" t="inlineStr"/>
      <c r="F489" s="2" t="inlineStr"/>
      <c r="G489" s="2" t="inlineStr"/>
      <c r="H489" s="3" t="inlineStr">
        <is>
          <t>泥棒 / ギャッ！</t>
        </is>
      </c>
      <c r="I489" s="4" t="n"/>
      <c r="J489" s="4" t="n"/>
      <c r="K489" s="4" t="n"/>
    </row>
    <row r="490">
      <c r="A490" s="2" t="n">
        <v>488</v>
      </c>
      <c r="B490" s="2" t="inlineStr">
        <is>
          <t>59:24.7</t>
        </is>
      </c>
      <c r="C490" s="3" t="inlineStr">
        <is>
          <t>ヤバイぞ</t>
        </is>
      </c>
      <c r="D490" s="3" t="inlineStr">
        <is>
          <t>반응·혼잣말</t>
        </is>
      </c>
      <c r="E490" s="2" t="inlineStr"/>
      <c r="F490" s="2" t="inlineStr"/>
      <c r="G490" s="2" t="inlineStr"/>
      <c r="H490" s="3" t="inlineStr">
        <is>
          <t>ギャッ！ / ギ… ギャア… / ガアア…</t>
        </is>
      </c>
      <c r="I490" s="4" t="n"/>
      <c r="J490" s="4" t="n"/>
      <c r="K490" s="4" t="n"/>
    </row>
    <row r="491">
      <c r="A491" s="2" t="n">
        <v>489</v>
      </c>
      <c r="B491" s="2" t="inlineStr">
        <is>
          <t>59:39.2</t>
        </is>
      </c>
      <c r="C491" s="3" t="inlineStr">
        <is>
          <t>와</t>
        </is>
      </c>
      <c r="D491" s="3" t="inlineStr">
        <is>
          <t>소리·감탄</t>
        </is>
      </c>
      <c r="E491" s="2" t="inlineStr"/>
      <c r="F491" s="2" t="inlineStr"/>
      <c r="G491" s="2" t="inlineStr"/>
      <c r="H491" s="3" t="inlineStr">
        <is>
          <t>ギャ…!? ギャギャギャギャギャギャ!! / アアアアアア / ア　ヴヴヴ!!</t>
        </is>
      </c>
      <c r="I491" s="4" t="n"/>
      <c r="J491" s="4" t="n"/>
      <c r="K491" s="4" t="n"/>
    </row>
    <row r="492">
      <c r="A492" s="2" t="n">
        <v>490</v>
      </c>
      <c r="B492" s="2" t="inlineStr">
        <is>
          <t>59:50.7</t>
        </is>
      </c>
      <c r="C492" s="3" t="inlineStr">
        <is>
          <t>음</t>
        </is>
      </c>
      <c r="D492" s="3" t="inlineStr">
        <is>
          <t>소리·감탄</t>
        </is>
      </c>
      <c r="E492" s="2" t="inlineStr"/>
      <c r="F492" s="2" t="inlineStr"/>
      <c r="G492" s="2" t="inlineStr"/>
      <c r="H492" s="3" t="inlineStr">
        <is>
          <t>ア　ヴヴヴ!! / （レゼ）アナタも ４課の一員なのかな？ / 今デンジ君を置いて 逃げるなら見逃すよ</t>
        </is>
      </c>
      <c r="I492" s="4" t="n"/>
      <c r="J492" s="4" t="n"/>
      <c r="K492" s="4" t="n"/>
    </row>
    <row r="493">
      <c r="A493" s="2" t="n">
        <v>491</v>
      </c>
      <c r="B493" s="2" t="inlineStr">
        <is>
          <t>59:56.0</t>
        </is>
      </c>
      <c r="C493" s="3" t="inlineStr">
        <is>
          <t>도망가지 않네</t>
        </is>
      </c>
      <c r="D493" s="3" t="inlineStr">
        <is>
          <t>반응·혼잣말</t>
        </is>
      </c>
      <c r="E493" s="2" t="inlineStr"/>
      <c r="F493" s="2" t="inlineStr"/>
      <c r="G493" s="2" t="inlineStr"/>
      <c r="H493" s="3" t="inlineStr">
        <is>
          <t>今デンジ君を置いて 逃げるなら見逃すよ / ヴヴヴヴヴ!! / ヴァ!!</t>
        </is>
      </c>
      <c r="I493" s="4" t="n"/>
      <c r="J493" s="4" t="n"/>
      <c r="K493" s="4" t="n"/>
    </row>
    <row r="494">
      <c r="A494" s="2" t="n">
        <v>492</v>
      </c>
      <c r="B494" s="2" t="inlineStr">
        <is>
          <t>59:59.0</t>
        </is>
      </c>
      <c r="C494" s="2" t="inlineStr">
        <is>
          <t>어우 そう</t>
        </is>
      </c>
      <c r="D494" s="5" t="inlineStr">
        <is>
          <t>따라함</t>
        </is>
      </c>
      <c r="E494" s="5" t="inlineStr">
        <is>
          <t>（レゼ）あ そう</t>
        </is>
      </c>
      <c r="F494" s="5" t="inlineStr">
        <is>
          <t>맞음</t>
        </is>
      </c>
      <c r="G494" s="5" t="inlineStr"/>
      <c r="H494" s="3" t="inlineStr">
        <is>
          <t>ヴヴヴヴヴ!! / ヴァ!! / （レゼ）あ そう</t>
        </is>
      </c>
      <c r="I494" s="4" t="n"/>
      <c r="J494" s="4" t="n"/>
      <c r="K494" s="4" t="n"/>
    </row>
    <row r="495">
      <c r="A495" s="2" t="n">
        <v>493</v>
      </c>
      <c r="B495" s="2" t="inlineStr">
        <is>
          <t>60:03.0</t>
        </is>
      </c>
      <c r="C495" s="3" t="inlineStr">
        <is>
          <t>아 근데 너무 볼품없네</t>
        </is>
      </c>
      <c r="D495" s="3" t="inlineStr">
        <is>
          <t>반응·혼잣말</t>
        </is>
      </c>
      <c r="E495" s="2" t="inlineStr"/>
      <c r="F495" s="2" t="inlineStr"/>
      <c r="G495" s="2" t="inlineStr"/>
      <c r="H495" s="3" t="inlineStr">
        <is>
          <t>ヴァ!! / （レゼ）あ そう / ギャワ!!</t>
        </is>
      </c>
      <c r="I495" s="4" t="n"/>
      <c r="J495" s="4" t="n"/>
      <c r="K495" s="4" t="n"/>
    </row>
    <row r="496">
      <c r="A496" s="2" t="n">
        <v>494</v>
      </c>
      <c r="B496" s="2" t="inlineStr">
        <is>
          <t>60:43.2</t>
        </is>
      </c>
      <c r="C496" s="2" t="inlineStr">
        <is>
          <t>전투 개시</t>
        </is>
      </c>
      <c r="D496" s="5" t="inlineStr">
        <is>
          <t>옮김</t>
        </is>
      </c>
      <c r="E496" s="5" t="inlineStr">
        <is>
          <t>戦闘開始</t>
        </is>
      </c>
      <c r="F496" s="5" t="inlineStr">
        <is>
          <t>맞음</t>
        </is>
      </c>
      <c r="G496" s="5" t="inlineStr"/>
      <c r="H496" s="3" t="inlineStr">
        <is>
          <t>20時34分 / 戦闘開始 / （レゼ） 民間のデビルハンターかな？</t>
        </is>
      </c>
      <c r="I496" s="4" t="n"/>
      <c r="J496" s="4" t="n"/>
      <c r="K496" s="4" t="n"/>
    </row>
    <row r="497">
      <c r="A497" s="2" t="n">
        <v>495</v>
      </c>
      <c r="B497" s="2" t="inlineStr">
        <is>
          <t>60:54.0</t>
        </is>
      </c>
      <c r="C497" s="3" t="inlineStr">
        <is>
          <t>크</t>
        </is>
      </c>
      <c r="D497" s="3" t="inlineStr">
        <is>
          <t>반응·혼잣말</t>
        </is>
      </c>
      <c r="E497" s="2" t="inlineStr"/>
      <c r="F497" s="2" t="inlineStr"/>
      <c r="G497" s="2" t="inlineStr"/>
      <c r="H497" s="3" t="inlineStr">
        <is>
          <t>（レゼ） 民間のデビルハンターかな？ / うおっ 喋(しゃべ)った… / 中々強いぞコイツ</t>
        </is>
      </c>
      <c r="I497" s="4" t="n"/>
      <c r="J497" s="4" t="n"/>
      <c r="K497" s="4" t="n"/>
    </row>
    <row r="498">
      <c r="A498" s="2" t="n">
        <v>496</v>
      </c>
      <c r="B498" s="2" t="inlineStr">
        <is>
          <t>61:01.0</t>
        </is>
      </c>
      <c r="C498" s="3" t="inlineStr">
        <is>
          <t>아 존나 세네</t>
        </is>
      </c>
      <c r="D498" s="3" t="inlineStr">
        <is>
          <t>반응·혼잣말</t>
        </is>
      </c>
      <c r="E498" s="2" t="inlineStr"/>
      <c r="F498" s="2" t="inlineStr"/>
      <c r="G498" s="2" t="inlineStr"/>
      <c r="H498" s="3" t="inlineStr">
        <is>
          <t>（レゼ） 民間のデビルハンターかな？ / うおっ 喋(しゃべ)った… / 中々強いぞコイツ</t>
        </is>
      </c>
      <c r="I498" s="4" t="n"/>
      <c r="J498" s="4" t="n"/>
      <c r="K498" s="4" t="n"/>
    </row>
    <row r="499">
      <c r="A499" s="2" t="n">
        <v>497</v>
      </c>
      <c r="B499" s="2" t="inlineStr">
        <is>
          <t>61:06.8</t>
        </is>
      </c>
      <c r="C499" s="3" t="inlineStr">
        <is>
          <t>오</t>
        </is>
      </c>
      <c r="D499" s="3" t="inlineStr">
        <is>
          <t>소리·감탄</t>
        </is>
      </c>
      <c r="E499" s="2" t="inlineStr"/>
      <c r="F499" s="2" t="inlineStr"/>
      <c r="G499" s="2" t="inlineStr"/>
      <c r="H499" s="3" t="inlineStr">
        <is>
          <t>（レゼ） 民間のデビルハンターかな？ / うおっ 喋(しゃべ)った… / 中々強いぞコイツ</t>
        </is>
      </c>
      <c r="I499" s="4" t="n"/>
      <c r="J499" s="4" t="n"/>
      <c r="K499" s="4" t="n"/>
    </row>
    <row r="500">
      <c r="A500" s="2" t="n">
        <v>498</v>
      </c>
      <c r="B500" s="2" t="inlineStr">
        <is>
          <t>61:09.0</t>
        </is>
      </c>
      <c r="C500" s="3" t="inlineStr">
        <is>
          <t>호오..도망갔네</t>
        </is>
      </c>
      <c r="D500" s="3" t="inlineStr">
        <is>
          <t>반응·혼잣말</t>
        </is>
      </c>
      <c r="E500" s="2" t="inlineStr"/>
      <c r="F500" s="2" t="inlineStr"/>
      <c r="G500" s="2" t="inlineStr"/>
      <c r="H500" s="3" t="inlineStr">
        <is>
          <t>（レゼ） 民間のデビルハンターかな？ / うおっ 喋(しゃべ)った… / 中々強いぞコイツ</t>
        </is>
      </c>
      <c r="I500" s="4" t="n"/>
      <c r="J500" s="4" t="n"/>
      <c r="K500" s="4" t="n"/>
    </row>
    <row r="501">
      <c r="A501" s="2" t="n">
        <v>499</v>
      </c>
      <c r="B501" s="2" t="inlineStr">
        <is>
          <t>61:14.0</t>
        </is>
      </c>
      <c r="C501" s="2" t="inlineStr">
        <is>
          <t>逃げ足はや</t>
        </is>
      </c>
      <c r="D501" s="5" t="inlineStr">
        <is>
          <t>따라함</t>
        </is>
      </c>
      <c r="E501" s="5" t="inlineStr">
        <is>
          <t>（レゼ）逃げ足速っ</t>
        </is>
      </c>
      <c r="F501" s="5" t="inlineStr">
        <is>
          <t>맞음</t>
        </is>
      </c>
      <c r="G501" s="5" t="inlineStr"/>
      <c r="H501" s="3" t="inlineStr">
        <is>
          <t>うおっ 喋(しゃべ)った… / 中々強いぞコイツ / （レゼ）逃げ足速っ</t>
        </is>
      </c>
      <c r="I501" s="4" t="n"/>
      <c r="J501" s="4" t="n"/>
      <c r="K501" s="4" t="n"/>
    </row>
    <row r="502">
      <c r="A502" s="2" t="n">
        <v>500</v>
      </c>
      <c r="B502" s="2" t="inlineStr">
        <is>
          <t>61:17.0</t>
        </is>
      </c>
      <c r="C502" s="3" t="inlineStr">
        <is>
          <t>아 몰라</t>
        </is>
      </c>
      <c r="D502" s="3" t="inlineStr">
        <is>
          <t>반응·혼잣말</t>
        </is>
      </c>
      <c r="E502" s="2" t="inlineStr"/>
      <c r="F502" s="2" t="inlineStr"/>
      <c r="G502" s="2" t="inlineStr"/>
      <c r="H502" s="3" t="inlineStr">
        <is>
          <t>うおっ 喋(しゃべ)った… / 中々強いぞコイツ / （レゼ）逃げ足速っ</t>
        </is>
      </c>
      <c r="I502" s="4" t="n"/>
      <c r="J502" s="4" t="n"/>
      <c r="K502" s="4" t="n"/>
    </row>
    <row r="503">
      <c r="A503" s="2" t="n">
        <v>501</v>
      </c>
      <c r="B503" s="2" t="inlineStr">
        <is>
          <t>61:56.4</t>
        </is>
      </c>
      <c r="C503" s="2" t="inlineStr">
        <is>
          <t>음 5년 후에는</t>
        </is>
      </c>
      <c r="D503" s="5" t="inlineStr">
        <is>
          <t>옮김</t>
        </is>
      </c>
      <c r="E503" s="5" t="inlineStr">
        <is>
          <t>順当にいけば５年後には 俺が副隊長になる</t>
        </is>
      </c>
      <c r="F503" s="5" t="inlineStr">
        <is>
          <t>맞음</t>
        </is>
      </c>
      <c r="G503" s="5" t="inlineStr"/>
      <c r="H503" s="3" t="inlineStr">
        <is>
          <t>特異課なんて 血生臭い話しか聞かないぞ / 順当にいけば５年後には 俺が副隊長になる / そうなったら本気で お前を誘うからな</t>
        </is>
      </c>
      <c r="I503" s="4" t="n"/>
      <c r="J503" s="4" t="n"/>
      <c r="K503" s="4" t="n"/>
    </row>
    <row r="504">
      <c r="A504" s="2" t="n">
        <v>502</v>
      </c>
      <c r="B504" s="2" t="inlineStr">
        <is>
          <t>61:59.9</t>
        </is>
      </c>
      <c r="C504" s="2" t="inlineStr">
        <is>
          <t>부대장이 될 거라고 음</t>
        </is>
      </c>
      <c r="D504" s="5" t="inlineStr">
        <is>
          <t>옮김</t>
        </is>
      </c>
      <c r="E504" s="5" t="inlineStr">
        <is>
          <t>順当にいけば５年後には 俺が副隊長になる</t>
        </is>
      </c>
      <c r="F504" s="5" t="inlineStr">
        <is>
          <t>맞음</t>
        </is>
      </c>
      <c r="G504" s="5" t="inlineStr"/>
      <c r="H504" s="3" t="inlineStr">
        <is>
          <t>特異課なんて 血生臭い話しか聞かないぞ / 順当にいけば５年後には 俺が副隊長になる / そうなったら本気で お前を誘うからな</t>
        </is>
      </c>
      <c r="I504" s="4" t="n"/>
      <c r="J504" s="4" t="n"/>
      <c r="K504" s="4" t="n"/>
    </row>
    <row r="505">
      <c r="A505" s="2" t="n">
        <v>503</v>
      </c>
      <c r="B505" s="2" t="inlineStr">
        <is>
          <t>62:06.0</t>
        </is>
      </c>
      <c r="C505" s="3" t="inlineStr">
        <is>
          <t>저 새끼 남자라는 거잖아</t>
        </is>
      </c>
      <c r="D505" s="3" t="inlineStr">
        <is>
          <t>반응·혼잣말</t>
        </is>
      </c>
      <c r="E505" s="2" t="inlineStr"/>
      <c r="F505" s="2" t="inlineStr"/>
      <c r="G505" s="2" t="inlineStr"/>
      <c r="H505" s="3" t="inlineStr">
        <is>
          <t>そうなったら本気で お前を誘うからな / ありがとうございます / （天使の悪魔）ねえねえ</t>
        </is>
      </c>
      <c r="I505" s="4" t="n"/>
      <c r="J505" s="4" t="n"/>
      <c r="K505" s="4" t="n"/>
    </row>
    <row r="506">
      <c r="A506" s="2" t="n">
        <v>504</v>
      </c>
      <c r="B506" s="2" t="inlineStr">
        <is>
          <t>62:11.0</t>
        </is>
      </c>
      <c r="C506" s="3" t="inlineStr">
        <is>
          <t>씨발 목소리도 씨 애매하네</t>
        </is>
      </c>
      <c r="D506" s="3" t="inlineStr">
        <is>
          <t>반응·혼잣말</t>
        </is>
      </c>
      <c r="E506" s="2" t="inlineStr"/>
      <c r="F506" s="2" t="inlineStr"/>
      <c r="G506" s="2" t="inlineStr"/>
      <c r="H506" s="3" t="inlineStr">
        <is>
          <t>（天使の悪魔）ねえねえ / ５年後はもう死んでますって 言ってないの？ / （早川）その事 誰から聞いた</t>
        </is>
      </c>
      <c r="I506" s="4" t="n"/>
      <c r="J506" s="4" t="n"/>
      <c r="K506" s="4" t="n"/>
    </row>
    <row r="507">
      <c r="A507" s="2" t="n">
        <v>505</v>
      </c>
      <c r="B507" s="2" t="inlineStr">
        <is>
          <t>62:22.0</t>
        </is>
      </c>
      <c r="C507" s="2" t="inlineStr">
        <is>
          <t>얘는 곧 죽고</t>
        </is>
      </c>
      <c r="D507" s="7" t="inlineStr">
        <is>
          <t>추측</t>
        </is>
      </c>
      <c r="E507" s="7" t="inlineStr">
        <is>
          <t>５年後はもう死んでますって 言ってないの？</t>
        </is>
      </c>
      <c r="F507" s="7" t="inlineStr">
        <is>
          <t>대체로 맞음</t>
        </is>
      </c>
      <c r="G507" s="7" t="inlineStr"/>
      <c r="H507" s="3" t="inlineStr">
        <is>
          <t>パワーちゃん / あの糞悪魔… / お前は誰にもいうなよ</t>
        </is>
      </c>
      <c r="I507" s="4" t="n"/>
      <c r="J507" s="4" t="n"/>
      <c r="K507" s="4" t="n"/>
    </row>
    <row r="508">
      <c r="A508" s="2" t="n">
        <v>506</v>
      </c>
      <c r="B508" s="2" t="inlineStr">
        <is>
          <t>62:28.0</t>
        </is>
      </c>
      <c r="C508" s="2" t="inlineStr">
        <is>
          <t>僕も早く死にたいな</t>
        </is>
      </c>
      <c r="D508" s="5" t="inlineStr">
        <is>
          <t>따라함</t>
        </is>
      </c>
      <c r="E508" s="5" t="inlineStr">
        <is>
          <t>僕も早く死にたいな～</t>
        </is>
      </c>
      <c r="F508" s="5" t="inlineStr">
        <is>
          <t>맞음</t>
        </is>
      </c>
      <c r="G508" s="5" t="inlineStr"/>
      <c r="H508" s="3" t="inlineStr">
        <is>
          <t>キミはいいなぁ / 僕も早く死にたいな～ / 生きてると頑張らなきゃ いけないからね</t>
        </is>
      </c>
      <c r="I508" s="4" t="n"/>
      <c r="J508" s="4" t="n"/>
      <c r="K508" s="4" t="n"/>
    </row>
    <row r="509">
      <c r="A509" s="2" t="n">
        <v>507</v>
      </c>
      <c r="B509" s="2" t="inlineStr">
        <is>
          <t>62:34.4</t>
        </is>
      </c>
      <c r="C509" s="3" t="inlineStr">
        <is>
          <t>당연한 거 아닌가</t>
        </is>
      </c>
      <c r="D509" s="3" t="inlineStr">
        <is>
          <t>반응·혼잣말</t>
        </is>
      </c>
      <c r="E509" s="2" t="inlineStr"/>
      <c r="F509" s="2" t="inlineStr"/>
      <c r="G509" s="2" t="inlineStr"/>
      <c r="H509" s="3" t="inlineStr">
        <is>
          <t>僕も早く死にたいな～ / 生きてると頑張らなきゃ いけないからね / 死ねば頑張らなくていいし…</t>
        </is>
      </c>
      <c r="I509" s="4" t="n"/>
      <c r="J509" s="4" t="n"/>
      <c r="K509" s="4" t="n"/>
    </row>
    <row r="510">
      <c r="A510" s="2" t="n">
        <v>508</v>
      </c>
      <c r="B510" s="2" t="inlineStr">
        <is>
          <t>62:37.7</t>
        </is>
      </c>
      <c r="C510" s="2" t="inlineStr">
        <is>
          <t>살아있으면 열심히 살아야 되고 죽으면은 노력 안 해도 되고</t>
        </is>
      </c>
      <c r="D510" s="5" t="inlineStr">
        <is>
          <t>옮김</t>
        </is>
      </c>
      <c r="E510" s="5" t="inlineStr">
        <is>
          <t>生きてると頑張らなきゃ いけないからね / 死ねば頑張らなくていいし…</t>
        </is>
      </c>
      <c r="F510" s="5" t="inlineStr">
        <is>
          <t>맞음</t>
        </is>
      </c>
      <c r="G510" s="5" t="inlineStr"/>
      <c r="H510" s="3" t="inlineStr">
        <is>
          <t>僕も早く死にたいな～ / 生きてると頑張らなきゃ いけないからね / 死ねば頑張らなくていいし…</t>
        </is>
      </c>
      <c r="I510" s="4" t="n"/>
      <c r="J510" s="4" t="n"/>
      <c r="K510" s="4" t="n"/>
    </row>
    <row r="511">
      <c r="A511" s="2" t="n">
        <v>509</v>
      </c>
      <c r="B511" s="2" t="inlineStr">
        <is>
          <t>62:47.0</t>
        </is>
      </c>
      <c r="C511" s="2" t="inlineStr">
        <is>
          <t>미래로 미래의 악마랑 계약했었잖아 그렇지</t>
        </is>
      </c>
      <c r="D511" s="5" t="inlineStr">
        <is>
          <t>옮김</t>
        </is>
      </c>
      <c r="E511" s="5" t="inlineStr">
        <is>
          <t>キミ 未来の悪魔と 契約してるんでしょ</t>
        </is>
      </c>
      <c r="F511" s="5" t="inlineStr">
        <is>
          <t>맞음</t>
        </is>
      </c>
      <c r="G511" s="5" t="inlineStr"/>
      <c r="H511" s="3" t="inlineStr">
        <is>
          <t>死ねば頑張らなくていいし… / あ そうだ / キミ 未来の悪魔と 契約してるんでしょ</t>
        </is>
      </c>
      <c r="I511" s="4" t="n"/>
      <c r="J511" s="4" t="n"/>
      <c r="K511" s="4" t="n"/>
    </row>
    <row r="512">
      <c r="A512" s="2" t="n">
        <v>510</v>
      </c>
      <c r="B512" s="2" t="inlineStr">
        <is>
          <t>62:54.0</t>
        </is>
      </c>
      <c r="C512" s="3" t="inlineStr">
        <is>
          <t>어어 이제 춥네</t>
        </is>
      </c>
      <c r="D512" s="3" t="inlineStr">
        <is>
          <t>반응·혼잣말</t>
        </is>
      </c>
      <c r="E512" s="2" t="inlineStr"/>
      <c r="F512" s="2" t="inlineStr"/>
      <c r="G512" s="2" t="inlineStr"/>
      <c r="H512" s="3" t="inlineStr">
        <is>
          <t>死ねば頑張らなくていいし… / あ そうだ / キミ 未来の悪魔と 契約してるんでしょ</t>
        </is>
      </c>
      <c r="I512" s="4" t="n"/>
      <c r="J512" s="4" t="n"/>
      <c r="K512" s="4" t="n"/>
    </row>
    <row r="513">
      <c r="A513" s="2" t="n">
        <v>511</v>
      </c>
      <c r="B513" s="2" t="inlineStr">
        <is>
          <t>63:00.0</t>
        </is>
      </c>
      <c r="C513" s="2" t="inlineStr">
        <is>
          <t>아 물어봐 달라</t>
        </is>
      </c>
      <c r="D513" s="7" t="inlineStr">
        <is>
          <t>옮김</t>
        </is>
      </c>
      <c r="E513" s="7" t="inlineStr">
        <is>
          <t>試しに聞いてみてよ / 僕がいつ死ぬか</t>
        </is>
      </c>
      <c r="F513" s="7" t="inlineStr">
        <is>
          <t>대체로 맞음</t>
        </is>
      </c>
      <c r="G513" s="7" t="inlineStr"/>
      <c r="H513" s="3" t="inlineStr">
        <is>
          <t>試しに聞いてみてよ / 僕がいつ死ぬか / ごめんだな</t>
        </is>
      </c>
      <c r="I513" s="4" t="n"/>
      <c r="J513" s="4" t="n"/>
      <c r="K513" s="4" t="n"/>
    </row>
    <row r="514">
      <c r="A514" s="2" t="n">
        <v>512</v>
      </c>
      <c r="B514" s="2" t="inlineStr">
        <is>
          <t>63:02.0</t>
        </is>
      </c>
      <c r="C514" s="2" t="inlineStr">
        <is>
          <t>ごめんだな</t>
        </is>
      </c>
      <c r="D514" s="5" t="inlineStr">
        <is>
          <t>따라함</t>
        </is>
      </c>
      <c r="E514" s="5" t="inlineStr">
        <is>
          <t>ごめんだな</t>
        </is>
      </c>
      <c r="F514" s="5" t="inlineStr">
        <is>
          <t>맞음</t>
        </is>
      </c>
      <c r="G514" s="5" t="inlineStr"/>
      <c r="H514" s="3" t="inlineStr">
        <is>
          <t>試しに聞いてみてよ / 僕がいつ死ぬか / ごめんだな</t>
        </is>
      </c>
      <c r="I514" s="4" t="n"/>
      <c r="J514" s="4" t="n"/>
      <c r="K514" s="4" t="n"/>
    </row>
    <row r="515">
      <c r="A515" s="2" t="n">
        <v>513</v>
      </c>
      <c r="B515" s="2" t="inlineStr">
        <is>
          <t>63:07.0</t>
        </is>
      </c>
      <c r="C515" s="2" t="inlineStr">
        <is>
          <t>밑으로 와줘 지금</t>
        </is>
      </c>
      <c r="D515" s="5" t="inlineStr">
        <is>
          <t>옮김</t>
        </is>
      </c>
      <c r="E515" s="5" t="inlineStr">
        <is>
          <t>下に来い！　すぐ!!</t>
        </is>
      </c>
      <c r="F515" s="5" t="inlineStr">
        <is>
          <t>맞음</t>
        </is>
      </c>
      <c r="G515" s="5" t="inlineStr"/>
      <c r="H515" s="3" t="inlineStr">
        <is>
          <t>（野茂）アキ!! / 下に来い！　すぐ!! / （野茂）入り口で自分は 特異課だと呻(うめ)いていた</t>
        </is>
      </c>
      <c r="I515" s="4" t="n"/>
      <c r="J515" s="4" t="n"/>
      <c r="K515" s="4" t="n"/>
    </row>
    <row r="516">
      <c r="A516" s="2" t="n">
        <v>514</v>
      </c>
      <c r="B516" s="2" t="inlineStr">
        <is>
          <t>63:23.0</t>
        </is>
      </c>
      <c r="C516" s="2" t="inlineStr">
        <is>
          <t>악마한테 당한 건가 폭탄이 온다</t>
        </is>
      </c>
      <c r="D516" s="5" t="inlineStr">
        <is>
          <t>옮김</t>
        </is>
      </c>
      <c r="E516" s="5" t="inlineStr">
        <is>
          <t>悪魔にやられたのか？ / ボムが来る…！</t>
        </is>
      </c>
      <c r="F516" s="5" t="inlineStr">
        <is>
          <t>맞음</t>
        </is>
      </c>
      <c r="G516" s="5" t="inlineStr"/>
      <c r="H516" s="3" t="inlineStr">
        <is>
          <t>悪魔にやられたのか？ / うう… / ボムが来る…！</t>
        </is>
      </c>
      <c r="I516" s="4" t="n"/>
      <c r="J516" s="4" t="n"/>
      <c r="K516" s="4" t="n"/>
    </row>
    <row r="517">
      <c r="A517" s="2" t="n">
        <v>515</v>
      </c>
      <c r="B517" s="2" t="inlineStr">
        <is>
          <t>63:26.0</t>
        </is>
      </c>
      <c r="C517" s="2" t="inlineStr">
        <is>
          <t>ボムがくる</t>
        </is>
      </c>
      <c r="D517" s="5" t="inlineStr">
        <is>
          <t>따라함</t>
        </is>
      </c>
      <c r="E517" s="5" t="inlineStr">
        <is>
          <t>ボムが来る…！</t>
        </is>
      </c>
      <c r="F517" s="5" t="inlineStr">
        <is>
          <t>맞음</t>
        </is>
      </c>
      <c r="G517" s="5" t="inlineStr"/>
      <c r="H517" s="3" t="inlineStr">
        <is>
          <t>悪魔にやられたのか？ / うう… / ボムが来る…！</t>
        </is>
      </c>
      <c r="I517" s="4" t="n"/>
      <c r="J517" s="4" t="n"/>
      <c r="K517" s="4" t="n"/>
    </row>
    <row r="518">
      <c r="A518" s="2" t="n">
        <v>516</v>
      </c>
      <c r="B518" s="2" t="inlineStr">
        <is>
          <t>63:35.0</t>
        </is>
      </c>
      <c r="C518" s="2" t="inlineStr">
        <is>
          <t>총의 악마랑</t>
        </is>
      </c>
      <c r="D518" s="5" t="inlineStr">
        <is>
          <t>옮김</t>
        </is>
      </c>
      <c r="E518" s="5" t="inlineStr">
        <is>
          <t>銃の悪魔の… 仲間！</t>
        </is>
      </c>
      <c r="F518" s="5" t="inlineStr">
        <is>
          <t>맞음</t>
        </is>
      </c>
      <c r="G518" s="5" t="inlineStr"/>
      <c r="H518" s="3" t="inlineStr">
        <is>
          <t>ボムが来る…！ / ボム… / 銃の悪魔の… 仲間！</t>
        </is>
      </c>
      <c r="I518" s="4" t="n"/>
      <c r="J518" s="4" t="n"/>
      <c r="K518" s="4" t="n"/>
    </row>
    <row r="519">
      <c r="A519" s="2" t="n">
        <v>517</v>
      </c>
      <c r="B519" s="2" t="inlineStr">
        <is>
          <t>63:37.0</t>
        </is>
      </c>
      <c r="C519" s="2" t="inlineStr">
        <is>
          <t>仲間야? 동료야?</t>
        </is>
      </c>
      <c r="D519" s="5" t="inlineStr">
        <is>
          <t>추측</t>
        </is>
      </c>
      <c r="E519" s="5" t="inlineStr">
        <is>
          <t>銃の悪魔の… 仲間！</t>
        </is>
      </c>
      <c r="F519" s="5" t="inlineStr">
        <is>
          <t>맞음</t>
        </is>
      </c>
      <c r="G519" s="5" t="inlineStr">
        <is>
          <t>仲間 → 동료</t>
        </is>
      </c>
      <c r="H519" s="3" t="inlineStr">
        <is>
          <t>ボムが来る…！ / ボム… / 銃の悪魔の… 仲間！</t>
        </is>
      </c>
      <c r="I519" s="4" t="n"/>
      <c r="J519" s="4" t="n"/>
      <c r="K519" s="4" t="n"/>
    </row>
    <row r="520">
      <c r="A520" s="2" t="n">
        <v>518</v>
      </c>
      <c r="B520" s="2" t="inlineStr">
        <is>
          <t>63:44.3</t>
        </is>
      </c>
      <c r="C520" s="2" t="inlineStr">
        <is>
          <t>왜 네가 그런 정보를 알고 있는 거야</t>
        </is>
      </c>
      <c r="D520" s="5" t="inlineStr">
        <is>
          <t>옮김</t>
        </is>
      </c>
      <c r="E520" s="5" t="inlineStr">
        <is>
          <t>なんでお前が そんな情報を知っているんだ？</t>
        </is>
      </c>
      <c r="F520" s="5" t="inlineStr">
        <is>
          <t>맞음</t>
        </is>
      </c>
      <c r="G520" s="5" t="inlineStr"/>
      <c r="H520" s="3" t="inlineStr">
        <is>
          <t>ボム… / 銃の悪魔の… 仲間！ / なんでお前が そんな情報を知っているんだ？</t>
        </is>
      </c>
      <c r="I520" s="4" t="n"/>
      <c r="J520" s="4" t="n"/>
      <c r="K520" s="4" t="n"/>
    </row>
    <row r="521">
      <c r="A521" s="2" t="n">
        <v>519</v>
      </c>
      <c r="B521" s="2" t="inlineStr">
        <is>
          <t>63:50.1</t>
        </is>
      </c>
      <c r="C521" s="2" t="inlineStr">
        <is>
          <t>대답해</t>
        </is>
      </c>
      <c r="D521" s="5" t="inlineStr">
        <is>
          <t>옮김</t>
        </is>
      </c>
      <c r="E521" s="5" t="inlineStr">
        <is>
          <t>（早川）答えろ</t>
        </is>
      </c>
      <c r="F521" s="5" t="inlineStr">
        <is>
          <t>맞음</t>
        </is>
      </c>
      <c r="G521" s="5" t="inlineStr"/>
      <c r="H521" s="3" t="inlineStr">
        <is>
          <t>う… あ… / （早川）答えろ / ここでお前を 殺す事だってできるんだ</t>
        </is>
      </c>
      <c r="I521" s="4" t="n"/>
      <c r="J521" s="4" t="n"/>
      <c r="K521" s="4" t="n"/>
    </row>
    <row r="522">
      <c r="A522" s="2" t="n">
        <v>520</v>
      </c>
      <c r="B522" s="2" t="inlineStr">
        <is>
          <t>63:54.0</t>
        </is>
      </c>
      <c r="C522" s="2" t="inlineStr">
        <is>
          <t>여기서 너를 죽이는 건 가능하다</t>
        </is>
      </c>
      <c r="D522" s="5" t="inlineStr">
        <is>
          <t>옮김</t>
        </is>
      </c>
      <c r="E522" s="5" t="inlineStr">
        <is>
          <t>ここでお前を 殺す事だってできるんだ</t>
        </is>
      </c>
      <c r="F522" s="5" t="inlineStr">
        <is>
          <t>맞음</t>
        </is>
      </c>
      <c r="G522" s="5" t="inlineStr"/>
      <c r="H522" s="3" t="inlineStr">
        <is>
          <t>（早川）答えろ / ここでお前を 殺す事だってできるんだ / [추정] 話したら殺される…！</t>
        </is>
      </c>
      <c r="I522" s="4" t="n"/>
      <c r="J522" s="4" t="n"/>
      <c r="K522" s="4" t="n"/>
    </row>
    <row r="523">
      <c r="A523" s="2" t="n">
        <v>521</v>
      </c>
      <c r="B523" s="2" t="inlineStr">
        <is>
          <t>64:02.5</t>
        </is>
      </c>
      <c r="C523" s="3" t="inlineStr">
        <is>
          <t>마키마상이랑 약속했다고</t>
        </is>
      </c>
      <c r="D523" s="3" t="inlineStr">
        <is>
          <t>반응·혼잣말</t>
        </is>
      </c>
      <c r="E523" s="2" t="inlineStr"/>
      <c r="F523" s="2" t="inlineStr"/>
      <c r="G523" s="2" t="inlineStr"/>
      <c r="H523" s="3" t="inlineStr">
        <is>
          <t>マキマさん…？ / はっ！　あ！　キタ！　キタ！ / ボム来た!!</t>
        </is>
      </c>
      <c r="I523" s="4" t="n"/>
      <c r="J523" s="4" t="n"/>
      <c r="K523" s="4" t="n"/>
    </row>
    <row r="524">
      <c r="A524" s="2" t="n">
        <v>522</v>
      </c>
      <c r="B524" s="2" t="inlineStr">
        <is>
          <t>64:19.0</t>
        </is>
      </c>
      <c r="C524" s="2" t="inlineStr">
        <is>
          <t>거기 미녀</t>
        </is>
      </c>
      <c r="D524" s="5" t="inlineStr">
        <is>
          <t>옮김</t>
        </is>
      </c>
      <c r="E524" s="5" t="inlineStr">
        <is>
          <t>（野茂）そこの美女!!</t>
        </is>
      </c>
      <c r="F524" s="5" t="inlineStr">
        <is>
          <t>맞음</t>
        </is>
      </c>
      <c r="G524" s="5" t="inlineStr"/>
      <c r="H524" s="3" t="inlineStr">
        <is>
          <t>ボム来た!! / （野茂）そこの美女!! / すまないがそれ以上 近づくな!!</t>
        </is>
      </c>
      <c r="I524" s="4" t="n"/>
      <c r="J524" s="4" t="n"/>
      <c r="K524" s="4" t="n"/>
    </row>
    <row r="525">
      <c r="A525" s="2" t="n">
        <v>523</v>
      </c>
      <c r="B525" s="2" t="inlineStr">
        <is>
          <t>64:22.0</t>
        </is>
      </c>
      <c r="C525" s="2" t="inlineStr">
        <is>
          <t>거기 이상으로 접근하지 마라</t>
        </is>
      </c>
      <c r="D525" s="7" t="inlineStr">
        <is>
          <t>옮김</t>
        </is>
      </c>
      <c r="E525" s="7" t="inlineStr">
        <is>
          <t>すまないがそれ以上 近づくな!!</t>
        </is>
      </c>
      <c r="F525" s="7" t="inlineStr">
        <is>
          <t>대체로 맞음</t>
        </is>
      </c>
      <c r="G525" s="7" t="inlineStr"/>
      <c r="H525" s="3" t="inlineStr">
        <is>
          <t>ボム来た!! / （野茂）そこの美女!! / すまないがそれ以上 近づくな!!</t>
        </is>
      </c>
      <c r="I525" s="4" t="n"/>
      <c r="J525" s="4" t="n"/>
      <c r="K525" s="4" t="n"/>
    </row>
    <row r="526">
      <c r="A526" s="2" t="n">
        <v>524</v>
      </c>
      <c r="B526" s="2" t="inlineStr">
        <is>
          <t>64:44.7</t>
        </is>
      </c>
      <c r="C526" s="2" t="inlineStr">
        <is>
          <t>악마한테 쫓기고 있다고?</t>
        </is>
      </c>
      <c r="D526" s="7" t="inlineStr">
        <is>
          <t>옮김</t>
        </is>
      </c>
      <c r="E526" s="7" t="inlineStr">
        <is>
          <t>悪魔に襲われてま～す!!</t>
        </is>
      </c>
      <c r="F526" s="7" t="inlineStr">
        <is>
          <t>대체로 맞음</t>
        </is>
      </c>
      <c r="G526" s="7" t="inlineStr">
        <is>
          <t>襲われる → 쫓기다</t>
        </is>
      </c>
      <c r="H526" s="3" t="inlineStr">
        <is>
          <t>助けてくださ～い!! / 悪魔に襲われてま～す!! / ほー　ずいぶんな笑顔で 襲われているもんだな</t>
        </is>
      </c>
      <c r="I526" s="4" t="n"/>
      <c r="J526" s="4" t="n"/>
      <c r="K526" s="4" t="n"/>
    </row>
    <row r="527">
      <c r="A527" s="2" t="n">
        <v>525</v>
      </c>
      <c r="B527" s="2" t="inlineStr">
        <is>
          <t>65:33.7</t>
        </is>
      </c>
      <c r="C527" s="2" t="inlineStr">
        <is>
          <t>안 되는 건가</t>
        </is>
      </c>
      <c r="D527" s="5" t="inlineStr">
        <is>
          <t>옮김</t>
        </is>
      </c>
      <c r="E527" s="5" t="inlineStr">
        <is>
          <t>（レゼ）ダメみたいだな～</t>
        </is>
      </c>
      <c r="F527" s="5" t="inlineStr">
        <is>
          <t>맞음</t>
        </is>
      </c>
      <c r="G527" s="5" t="inlineStr"/>
      <c r="H527" s="3" t="inlineStr">
        <is>
          <t>人間だと思わず 悪魔として扱え / （レゼ）ダメみたいだな～ / そりゃダメか～</t>
        </is>
      </c>
      <c r="I527" s="4" t="n"/>
      <c r="J527" s="4" t="n"/>
      <c r="K527" s="4" t="n"/>
    </row>
    <row r="528">
      <c r="A528" s="2" t="n">
        <v>526</v>
      </c>
      <c r="B528" s="2" t="inlineStr">
        <is>
          <t>65:43.0</t>
        </is>
      </c>
      <c r="C528" s="2" t="inlineStr">
        <is>
          <t>몰살 코스인가</t>
        </is>
      </c>
      <c r="D528" s="5" t="inlineStr">
        <is>
          <t>옮김</t>
        </is>
      </c>
      <c r="E528" s="5" t="inlineStr">
        <is>
          <t>皆殺しコースかな</t>
        </is>
      </c>
      <c r="F528" s="5" t="inlineStr">
        <is>
          <t>맞음</t>
        </is>
      </c>
      <c r="G528" s="5" t="inlineStr"/>
      <c r="H528" s="3" t="inlineStr">
        <is>
          <t>そりゃダメか～ / なら仕方ない / 皆殺しコースかな</t>
        </is>
      </c>
      <c r="I528" s="4" t="n"/>
      <c r="J528" s="4" t="n"/>
      <c r="K528" s="4" t="n"/>
    </row>
    <row r="529">
      <c r="A529" s="2" t="n">
        <v>527</v>
      </c>
      <c r="B529" s="2" t="inlineStr">
        <is>
          <t>66:17.5</t>
        </is>
      </c>
      <c r="C529" s="3" t="inlineStr">
        <is>
          <t>저게 변신하는 거잖아</t>
        </is>
      </c>
      <c r="D529" s="3" t="inlineStr">
        <is>
          <t>반응·혼잣말</t>
        </is>
      </c>
      <c r="E529" s="2" t="inlineStr"/>
      <c r="F529" s="2" t="inlineStr"/>
      <c r="G529" s="2" t="inlineStr"/>
      <c r="H529" s="3" t="inlineStr">
        <is>
          <t>（田辺）わ （加藤）うわッ!? / （加藤）自害…!? / （野茂）ふうん…</t>
        </is>
      </c>
      <c r="I529" s="4" t="n"/>
      <c r="J529" s="4" t="n"/>
      <c r="K529" s="4" t="n"/>
    </row>
    <row r="530">
      <c r="A530" s="2" t="n">
        <v>528</v>
      </c>
      <c r="B530" s="2" t="inlineStr">
        <is>
          <t>66:38.6</t>
        </is>
      </c>
      <c r="C530" s="3" t="inlineStr">
        <is>
          <t>아 사기적이네</t>
        </is>
      </c>
      <c r="D530" s="3" t="inlineStr">
        <is>
          <t>반응·혼잣말</t>
        </is>
      </c>
      <c r="E530" s="2" t="inlineStr"/>
      <c r="F530" s="2" t="inlineStr"/>
      <c r="G530" s="2" t="inlineStr"/>
      <c r="H530" s="3" t="inlineStr">
        <is>
          <t>ばあ / （野茂）うぐ！ / （課員）うわあああ!!</t>
        </is>
      </c>
      <c r="I530" s="4" t="n"/>
      <c r="J530" s="4" t="n"/>
      <c r="K530" s="4" t="n"/>
    </row>
    <row r="531">
      <c r="A531" s="2" t="n">
        <v>529</v>
      </c>
      <c r="B531" s="2" t="inlineStr">
        <is>
          <t>66:50.5</t>
        </is>
      </c>
      <c r="C531" s="2" t="inlineStr">
        <is>
          <t>노보상 뒤</t>
        </is>
      </c>
      <c r="D531" s="5" t="inlineStr">
        <is>
          <t>옮김</t>
        </is>
      </c>
      <c r="E531" s="5" t="inlineStr">
        <is>
          <t>野茂さん 後ろ！</t>
        </is>
      </c>
      <c r="F531" s="5" t="inlineStr">
        <is>
          <t>맞음</t>
        </is>
      </c>
      <c r="G531" s="5" t="inlineStr"/>
      <c r="H531" s="3" t="inlineStr">
        <is>
          <t>（野茂）右に行ったぞ！ アキには近づかせるな！ / 野茂さん 後ろ！ / コン!!</t>
        </is>
      </c>
      <c r="I531" s="4" t="n"/>
      <c r="J531" s="4" t="n"/>
      <c r="K531" s="4" t="n"/>
    </row>
    <row r="532">
      <c r="A532" s="2" t="n">
        <v>530</v>
      </c>
      <c r="B532" s="2" t="inlineStr">
        <is>
          <t>66:54.0</t>
        </is>
      </c>
      <c r="C532" s="2" t="inlineStr">
        <is>
          <t>어 얘도 콩이야?</t>
        </is>
      </c>
      <c r="D532" s="5" t="inlineStr">
        <is>
          <t>따라함</t>
        </is>
      </c>
      <c r="E532" s="5" t="inlineStr">
        <is>
          <t>コン!!</t>
        </is>
      </c>
      <c r="F532" s="5" t="inlineStr">
        <is>
          <t>맞음</t>
        </is>
      </c>
      <c r="G532" s="5" t="inlineStr"/>
      <c r="H532" s="3" t="inlineStr">
        <is>
          <t>（野茂）右に行ったぞ！ アキには近づかせるな！ / 野茂さん 後ろ！ / コン!!</t>
        </is>
      </c>
      <c r="I532" s="4" t="n"/>
      <c r="J532" s="4" t="n"/>
      <c r="K532" s="4" t="n"/>
    </row>
    <row r="533">
      <c r="A533" s="2" t="n">
        <v>531</v>
      </c>
      <c r="B533" s="2" t="inlineStr">
        <is>
          <t>67:05.0</t>
        </is>
      </c>
      <c r="C533" s="3" t="inlineStr">
        <is>
          <t>아 이건 체인소보다도 더 센 거 같은데</t>
        </is>
      </c>
      <c r="D533" s="3" t="inlineStr">
        <is>
          <t>반응·혼잣말</t>
        </is>
      </c>
      <c r="E533" s="2" t="inlineStr"/>
      <c r="F533" s="2" t="inlineStr"/>
      <c r="G533" s="2" t="inlineStr"/>
      <c r="H533" s="3" t="inlineStr">
        <is>
          <t>野茂さん 後ろ！ / コン!! / コ…</t>
        </is>
      </c>
      <c r="I533" s="4" t="n"/>
      <c r="J533" s="4" t="n"/>
      <c r="K533" s="4" t="n"/>
    </row>
    <row r="534">
      <c r="A534" s="2" t="n">
        <v>532</v>
      </c>
      <c r="B534" s="2" t="inlineStr">
        <is>
          <t>68:01.1</t>
        </is>
      </c>
      <c r="C534" s="3" t="inlineStr">
        <is>
          <t>어 여우 악마랑은 계약한 애들이 많구나</t>
        </is>
      </c>
      <c r="D534" s="3" t="inlineStr">
        <is>
          <t>반응·혼잣말</t>
        </is>
      </c>
      <c r="E534" s="2" t="inlineStr"/>
      <c r="F534" s="2" t="inlineStr"/>
      <c r="G534" s="2" t="inlineStr"/>
      <c r="H534" s="3" t="inlineStr">
        <is>
          <t>あっ… あっ くっ… / （副隊長）ちょっと 横を失礼 / 副隊長…！</t>
        </is>
      </c>
      <c r="I534" s="4" t="n"/>
      <c r="J534" s="4" t="n"/>
      <c r="K534" s="4" t="n"/>
    </row>
    <row r="535">
      <c r="A535" s="2" t="n">
        <v>533</v>
      </c>
      <c r="B535" s="2" t="inlineStr">
        <is>
          <t>68:08.9</t>
        </is>
      </c>
      <c r="C535" s="2" t="inlineStr">
        <is>
          <t>아슬아슬하게 세이프</t>
        </is>
      </c>
      <c r="D535" s="5" t="inlineStr">
        <is>
          <t>옮김</t>
        </is>
      </c>
      <c r="E535" s="5" t="inlineStr">
        <is>
          <t>ギリギリセーフ …って感じじゃあないか</t>
        </is>
      </c>
      <c r="F535" s="5" t="inlineStr">
        <is>
          <t>맞음</t>
        </is>
      </c>
      <c r="G535" s="5" t="inlineStr"/>
      <c r="H535" s="3" t="inlineStr">
        <is>
          <t>ギリギリセーフ …って感じじゃあないか / [추정] （狐の悪魔）う…！　コノ味は…！ / えっ</t>
        </is>
      </c>
      <c r="I535" s="4" t="n"/>
      <c r="J535" s="4" t="n"/>
      <c r="K535" s="4" t="n"/>
    </row>
    <row r="536">
      <c r="A536" s="2" t="n">
        <v>534</v>
      </c>
      <c r="B536" s="2" t="inlineStr">
        <is>
          <t>68:18.6</t>
        </is>
      </c>
      <c r="C536" s="2" t="inlineStr">
        <is>
          <t>이 이 맛은</t>
        </is>
      </c>
      <c r="D536" s="5" t="inlineStr">
        <is>
          <t>옮김</t>
        </is>
      </c>
      <c r="E536" s="5" t="inlineStr">
        <is>
          <t>（狐の悪魔）う…！　コノ味は…！</t>
        </is>
      </c>
      <c r="F536" s="5" t="inlineStr">
        <is>
          <t>맞음</t>
        </is>
      </c>
      <c r="G536" s="5" t="inlineStr"/>
      <c r="H536" s="3" t="inlineStr">
        <is>
          <t>えっ / （狐の悪魔）この味 もう嫌い… / 帰る…</t>
        </is>
      </c>
      <c r="I536" s="4" t="n"/>
      <c r="J536" s="4" t="n"/>
      <c r="K536" s="4" t="n"/>
    </row>
    <row r="537">
      <c r="A537" s="2" t="n">
        <v>535</v>
      </c>
      <c r="B537" s="2" t="inlineStr">
        <is>
          <t>68:21.2</t>
        </is>
      </c>
      <c r="C537" s="2" t="inlineStr">
        <is>
          <t>이 맛 싫다고 고만 돌아간다고</t>
        </is>
      </c>
      <c r="D537" s="5" t="inlineStr">
        <is>
          <t>옮김</t>
        </is>
      </c>
      <c r="E537" s="5" t="inlineStr">
        <is>
          <t>（狐の悪魔）この味 もう嫌い… / 帰る…</t>
        </is>
      </c>
      <c r="F537" s="5" t="inlineStr">
        <is>
          <t>맞음</t>
        </is>
      </c>
      <c r="G537" s="5" t="inlineStr"/>
      <c r="H537" s="3" t="inlineStr">
        <is>
          <t>えっ / （狐の悪魔）この味 もう嫌い… / 帰る…</t>
        </is>
      </c>
      <c r="I537" s="4" t="n"/>
      <c r="J537" s="4" t="n"/>
      <c r="K537" s="4" t="n"/>
    </row>
    <row r="538">
      <c r="A538" s="2" t="n">
        <v>536</v>
      </c>
      <c r="B538" s="2" t="inlineStr">
        <is>
          <t>68:40.0</t>
        </is>
      </c>
      <c r="C538" s="2" t="inlineStr">
        <is>
          <t>내가 운전할게 두 명한테</t>
        </is>
      </c>
      <c r="D538" s="5" t="inlineStr">
        <is>
          <t>옮김</t>
        </is>
      </c>
      <c r="E538" s="5" t="inlineStr">
        <is>
          <t>俺が運転する / オマエは二人に血ィ飲ませろ</t>
        </is>
      </c>
      <c r="F538" s="5" t="inlineStr">
        <is>
          <t>맞음</t>
        </is>
      </c>
      <c r="G538" s="5" t="inlineStr"/>
      <c r="H538" s="3" t="inlineStr">
        <is>
          <t>（野茂）俺も 連れてってくださいよ / 俺が運転する / オマエは二人に血ィ飲ませろ</t>
        </is>
      </c>
      <c r="I538" s="4" t="n"/>
      <c r="J538" s="4" t="n"/>
      <c r="K538" s="4" t="n"/>
    </row>
    <row r="539">
      <c r="A539" s="2" t="n">
        <v>537</v>
      </c>
      <c r="B539" s="2" t="inlineStr">
        <is>
          <t>68:44.0</t>
        </is>
      </c>
      <c r="C539" s="2" t="inlineStr">
        <is>
          <t>피를 마시게 하라</t>
        </is>
      </c>
      <c r="D539" s="5" t="inlineStr">
        <is>
          <t>옮김</t>
        </is>
      </c>
      <c r="E539" s="5" t="inlineStr">
        <is>
          <t>オマエは二人に血ィ飲ませろ</t>
        </is>
      </c>
      <c r="F539" s="5" t="inlineStr">
        <is>
          <t>맞음</t>
        </is>
      </c>
      <c r="G539" s="5" t="inlineStr"/>
      <c r="H539" s="3" t="inlineStr">
        <is>
          <t>（野茂）俺も 連れてってくださいよ / 俺が運転する / オマエは二人に血ィ飲ませろ</t>
        </is>
      </c>
      <c r="I539" s="4" t="n"/>
      <c r="J539" s="4" t="n"/>
      <c r="K539" s="4" t="n"/>
    </row>
    <row r="540">
      <c r="A540" s="2" t="n">
        <v>538</v>
      </c>
      <c r="B540" s="2" t="inlineStr">
        <is>
          <t>68:56.7</t>
        </is>
      </c>
      <c r="C540" s="2" t="inlineStr">
        <is>
          <t>견문색이구만</t>
        </is>
      </c>
      <c r="D540" s="7" t="inlineStr">
        <is>
          <t>추측</t>
        </is>
      </c>
      <c r="E540" s="7" t="inlineStr">
        <is>
          <t>勝手にヤな未来 見せやがったな…</t>
        </is>
      </c>
      <c r="F540" s="7" t="inlineStr">
        <is>
          <t>대체로 맞음</t>
        </is>
      </c>
      <c r="G540" s="7" t="inlineStr">
        <is>
          <t>미래를 보는 능력을 견문색에 빗댐</t>
        </is>
      </c>
      <c r="H540" s="3" t="inlineStr">
        <is>
          <t>車 走らせないの？ / 畜生… / 勝手にヤな未来 見せやがったな…</t>
        </is>
      </c>
      <c r="I540" s="4" t="n"/>
      <c r="J540" s="4" t="n"/>
      <c r="K540" s="4" t="n"/>
    </row>
    <row r="541">
      <c r="A541" s="2" t="n">
        <v>539</v>
      </c>
      <c r="B541" s="2" t="inlineStr">
        <is>
          <t>69:14.0</t>
        </is>
      </c>
      <c r="C541" s="3" t="inlineStr">
        <is>
          <t>어 당했네</t>
        </is>
      </c>
      <c r="D541" s="3" t="inlineStr">
        <is>
          <t>반응·혼잣말</t>
        </is>
      </c>
      <c r="E541" s="2" t="inlineStr"/>
      <c r="F541" s="2" t="inlineStr"/>
      <c r="G541" s="2" t="inlineStr"/>
      <c r="H541" s="3" t="inlineStr">
        <is>
          <t>（物音） （天使の悪魔）ん？ / バケモンが…！ / （レゼ）私の力を 見せるために殺してみせた</t>
        </is>
      </c>
      <c r="I541" s="4" t="n"/>
      <c r="J541" s="4" t="n"/>
      <c r="K541" s="4" t="n"/>
    </row>
    <row r="542">
      <c r="A542" s="2" t="n">
        <v>540</v>
      </c>
      <c r="B542" s="2" t="inlineStr">
        <is>
          <t>69:18.5</t>
        </is>
      </c>
      <c r="C542" s="2" t="inlineStr">
        <is>
          <t>음 자기 힘이 얼마나 센지 보여주려고 죽였다고</t>
        </is>
      </c>
      <c r="D542" s="5" t="inlineStr">
        <is>
          <t>옮김</t>
        </is>
      </c>
      <c r="E542" s="5" t="inlineStr">
        <is>
          <t>（レゼ）私の力を 見せるために殺してみせた</t>
        </is>
      </c>
      <c r="F542" s="5" t="inlineStr">
        <is>
          <t>맞음</t>
        </is>
      </c>
      <c r="G542" s="5" t="inlineStr"/>
      <c r="H542" s="3" t="inlineStr">
        <is>
          <t>（物音） （天使の悪魔）ん？ / バケモンが…！ / （レゼ）私の力を 見せるために殺してみせた</t>
        </is>
      </c>
      <c r="I542" s="4" t="n"/>
      <c r="J542" s="4" t="n"/>
      <c r="K542" s="4" t="n"/>
    </row>
    <row r="543">
      <c r="A543" s="2" t="n">
        <v>541</v>
      </c>
      <c r="B543" s="2" t="inlineStr">
        <is>
          <t>69:24.2</t>
        </is>
      </c>
      <c r="C543" s="3" t="inlineStr">
        <is>
          <t>부대장이니까</t>
        </is>
      </c>
      <c r="D543" s="3" t="inlineStr">
        <is>
          <t>반응·혼잣말</t>
        </is>
      </c>
      <c r="E543" s="2" t="inlineStr"/>
      <c r="F543" s="2" t="inlineStr"/>
      <c r="G543" s="2" t="inlineStr"/>
      <c r="H543" s="3" t="inlineStr">
        <is>
          <t>バケモンが…！ / （レゼ）私の力を 見せるために殺してみせた / できるだけ人殺しはしたくない</t>
        </is>
      </c>
      <c r="I543" s="4" t="n"/>
      <c r="J543" s="4" t="n"/>
      <c r="K543" s="4" t="n"/>
    </row>
    <row r="544">
      <c r="A544" s="2" t="n">
        <v>542</v>
      </c>
      <c r="B544" s="2" t="inlineStr">
        <is>
          <t>69:30.1</t>
        </is>
      </c>
      <c r="C544" s="2" t="inlineStr">
        <is>
          <t>덴지군 달라고</t>
        </is>
      </c>
      <c r="D544" s="7" t="inlineStr">
        <is>
          <t>옮김</t>
        </is>
      </c>
      <c r="E544" s="7" t="inlineStr">
        <is>
          <t>デンジ君を 車から降ろして去りなさい</t>
        </is>
      </c>
      <c r="F544" s="7" t="inlineStr">
        <is>
          <t>대체로 맞음</t>
        </is>
      </c>
      <c r="G544" s="7" t="inlineStr"/>
      <c r="H544" s="3" t="inlineStr">
        <is>
          <t>できるだけ人殺しはしたくない / デンジ君を 車から降ろして去りなさい / あ…</t>
        </is>
      </c>
      <c r="I544" s="4" t="n"/>
      <c r="J544" s="4" t="n"/>
      <c r="K544" s="4" t="n"/>
    </row>
    <row r="545">
      <c r="A545" s="2" t="n">
        <v>543</v>
      </c>
      <c r="B545" s="2" t="inlineStr">
        <is>
          <t>69:39.6</t>
        </is>
      </c>
      <c r="C545" s="3" t="inlineStr">
        <is>
          <t>어 뻘쭘하겠네</t>
        </is>
      </c>
      <c r="D545" s="3" t="inlineStr">
        <is>
          <t>반응·혼잣말</t>
        </is>
      </c>
      <c r="E545" s="2" t="inlineStr"/>
      <c r="F545" s="2" t="inlineStr"/>
      <c r="G545" s="2" t="inlineStr"/>
      <c r="H545" s="3" t="inlineStr">
        <is>
          <t>デンジ君を 車から降ろして去りなさい / あ… / はあ…</t>
        </is>
      </c>
      <c r="I545" s="4" t="n"/>
      <c r="J545" s="4" t="n"/>
      <c r="K545" s="4" t="n"/>
    </row>
    <row r="546">
      <c r="A546" s="2" t="n">
        <v>544</v>
      </c>
      <c r="B546" s="2" t="inlineStr">
        <is>
          <t>69:49.2</t>
        </is>
      </c>
      <c r="C546" s="3" t="inlineStr">
        <is>
          <t>야 저렇게 이동하면 씨</t>
        </is>
      </c>
      <c r="D546" s="3" t="inlineStr">
        <is>
          <t>반응·혼잣말</t>
        </is>
      </c>
      <c r="E546" s="2" t="inlineStr"/>
      <c r="F546" s="2" t="inlineStr"/>
      <c r="G546" s="2" t="inlineStr"/>
      <c r="H546" s="3" t="inlineStr">
        <is>
          <t>はあ… / （レゼ）車はガソリンで 丸焦げになっちゃうからな～ / はっ！</t>
        </is>
      </c>
      <c r="I546" s="4" t="n"/>
      <c r="J546" s="4" t="n"/>
      <c r="K546" s="4" t="n"/>
    </row>
    <row r="547">
      <c r="A547" s="2" t="n">
        <v>545</v>
      </c>
      <c r="B547" s="2" t="inlineStr">
        <is>
          <t>70:21.3</t>
        </is>
      </c>
      <c r="C547" s="2" t="inlineStr">
        <is>
          <t>좋은 발차기였다고</t>
        </is>
      </c>
      <c r="D547" s="5" t="inlineStr">
        <is>
          <t>옮김</t>
        </is>
      </c>
      <c r="E547" s="5" t="inlineStr">
        <is>
          <t>（レゼ）いい蹴りだったよ</t>
        </is>
      </c>
      <c r="F547" s="5" t="inlineStr">
        <is>
          <t>맞음</t>
        </is>
      </c>
      <c r="G547" s="5" t="inlineStr"/>
      <c r="H547" s="3" t="inlineStr">
        <is>
          <t>俺のマジ蹴りだぜ!? / 今の！ / （レゼ）いい蹴りだったよ</t>
        </is>
      </c>
      <c r="I547" s="4" t="n"/>
      <c r="J547" s="4" t="n"/>
      <c r="K547" s="4" t="n"/>
    </row>
    <row r="548">
      <c r="A548" s="2" t="n">
        <v>546</v>
      </c>
      <c r="B548" s="2" t="inlineStr">
        <is>
          <t>70:25.0</t>
        </is>
      </c>
      <c r="C548" s="3" t="inlineStr">
        <is>
          <t>어씨</t>
        </is>
      </c>
      <c r="D548" s="3" t="inlineStr">
        <is>
          <t>반응·혼잣말</t>
        </is>
      </c>
      <c r="E548" s="2" t="inlineStr"/>
      <c r="F548" s="2" t="inlineStr"/>
      <c r="G548" s="2" t="inlineStr"/>
      <c r="H548" s="3" t="inlineStr">
        <is>
          <t>今の！ / （レゼ）いい蹴りだったよ / やろうか</t>
        </is>
      </c>
      <c r="I548" s="4" t="n"/>
      <c r="J548" s="4" t="n"/>
      <c r="K548" s="4" t="n"/>
    </row>
    <row r="549">
      <c r="A549" s="2" t="n">
        <v>547</v>
      </c>
      <c r="B549" s="2" t="inlineStr">
        <is>
          <t>70:27.0</t>
        </is>
      </c>
      <c r="C549" s="2" t="inlineStr">
        <is>
          <t>やろうか</t>
        </is>
      </c>
      <c r="D549" s="5" t="inlineStr">
        <is>
          <t>따라함</t>
        </is>
      </c>
      <c r="E549" s="5" t="inlineStr">
        <is>
          <t>やろうか</t>
        </is>
      </c>
      <c r="F549" s="5" t="inlineStr">
        <is>
          <t>맞음</t>
        </is>
      </c>
      <c r="G549" s="5" t="inlineStr"/>
      <c r="H549" s="3" t="inlineStr">
        <is>
          <t>（レゼ）いい蹴りだったよ / やろうか / （暴力の魔人）コベニちゃ～ん!! 作戦変更!!</t>
        </is>
      </c>
      <c r="I549" s="4" t="n"/>
      <c r="J549" s="4" t="n"/>
      <c r="K549" s="4" t="n"/>
    </row>
    <row r="550">
      <c r="A550" s="2" t="n">
        <v>548</v>
      </c>
      <c r="B550" s="2" t="inlineStr">
        <is>
          <t>70:31.0</t>
        </is>
      </c>
      <c r="C550" s="2" t="inlineStr">
        <is>
          <t>작전 변경</t>
        </is>
      </c>
      <c r="D550" s="5" t="inlineStr">
        <is>
          <t>옮김</t>
        </is>
      </c>
      <c r="E550" s="5" t="inlineStr">
        <is>
          <t>（暴力の魔人）コベニちゃ～ん!! 作戦変更!!</t>
        </is>
      </c>
      <c r="F550" s="5" t="inlineStr">
        <is>
          <t>맞음</t>
        </is>
      </c>
      <c r="G550" s="5" t="inlineStr"/>
      <c r="H550" s="3" t="inlineStr">
        <is>
          <t>（暴力の魔人）コベニちゃ～ん!! 作戦変更!! / （レゼ）ん…？ / （暴力の魔人）このお方 俺達よりずっと強い!!</t>
        </is>
      </c>
      <c r="I550" s="4" t="n"/>
      <c r="J550" s="4" t="n"/>
      <c r="K550" s="4" t="n"/>
    </row>
    <row r="551">
      <c r="A551" s="2" t="n">
        <v>549</v>
      </c>
      <c r="B551" s="2" t="inlineStr">
        <is>
          <t>70:41.2</t>
        </is>
      </c>
      <c r="C551" s="2" t="inlineStr">
        <is>
          <t>그런 이유로</t>
        </is>
      </c>
      <c r="D551" s="7" t="inlineStr">
        <is>
          <t>옮김</t>
        </is>
      </c>
      <c r="E551" s="7" t="inlineStr">
        <is>
          <t>じゃあ そういう事で!!</t>
        </is>
      </c>
      <c r="F551" s="7" t="inlineStr">
        <is>
          <t>대체로 맞음</t>
        </is>
      </c>
      <c r="G551" s="7" t="inlineStr"/>
      <c r="H551" s="3" t="inlineStr">
        <is>
          <t>じゃあ そういう事で!! / （レゼ）ん… / （東山コベニ）あ… あ…</t>
        </is>
      </c>
      <c r="I551" s="4" t="n"/>
      <c r="J551" s="4" t="n"/>
      <c r="K551" s="4" t="n"/>
    </row>
    <row r="552">
      <c r="A552" s="2" t="n">
        <v>550</v>
      </c>
      <c r="B552" s="2" t="inlineStr">
        <is>
          <t>71:07.0</t>
        </is>
      </c>
      <c r="C552" s="3" t="inlineStr">
        <is>
          <t>쟤 원래 나오던 애 아닌가?</t>
        </is>
      </c>
      <c r="D552" s="3" t="inlineStr">
        <is>
          <t>반응·혼잣말</t>
        </is>
      </c>
      <c r="E552" s="2" t="inlineStr"/>
      <c r="F552" s="2" t="inlineStr"/>
      <c r="G552" s="2" t="inlineStr"/>
      <c r="H552" s="3" t="inlineStr">
        <is>
          <t>ごめんなさい　ごめんなさい！ / もう仕事やめるから 許してくださぁいい!! / ひっ ひっ ひっひっ</t>
        </is>
      </c>
      <c r="I552" s="4" t="n"/>
      <c r="J552" s="4" t="n"/>
      <c r="K552" s="4" t="n"/>
    </row>
    <row r="553">
      <c r="A553" s="2" t="n">
        <v>551</v>
      </c>
      <c r="B553" s="2" t="inlineStr">
        <is>
          <t>71:16.6</t>
        </is>
      </c>
      <c r="C553" s="3" t="inlineStr">
        <is>
          <t>피는 언제 먹이는 건데</t>
        </is>
      </c>
      <c r="D553" s="3" t="inlineStr">
        <is>
          <t>반응·혼잣말</t>
        </is>
      </c>
      <c r="E553" s="2" t="inlineStr"/>
      <c r="F553" s="2" t="inlineStr"/>
      <c r="G553" s="2" t="inlineStr"/>
      <c r="H553" s="3" t="inlineStr">
        <is>
          <t>ごめんなさい　ごめんなさい！ / もう仕事やめるから 許してくださぁいい!! / ひっ ひっ ひっひっ</t>
        </is>
      </c>
      <c r="I553" s="4" t="n"/>
      <c r="J553" s="4" t="n"/>
      <c r="K553" s="4" t="n"/>
    </row>
    <row r="554">
      <c r="A554" s="2" t="n">
        <v>552</v>
      </c>
      <c r="B554" s="2" t="inlineStr">
        <is>
          <t>71:25.0</t>
        </is>
      </c>
      <c r="C554" s="3" t="inlineStr">
        <is>
          <t>아이 저렇게 날아다니면 씨 금방 따라잡히겠구만</t>
        </is>
      </c>
      <c r="D554" s="3" t="inlineStr">
        <is>
          <t>반응·혼잣말</t>
        </is>
      </c>
      <c r="E554" s="2" t="inlineStr"/>
      <c r="F554" s="2" t="inlineStr"/>
      <c r="G554" s="2" t="inlineStr"/>
      <c r="H554" s="3" t="inlineStr">
        <is>
          <t>もう仕事やめるから 許してくださぁいい!! / ひっ ひっ ひっひっ / （天使の悪魔）来た！</t>
        </is>
      </c>
      <c r="I554" s="4" t="n"/>
      <c r="J554" s="4" t="n"/>
      <c r="K554" s="4" t="n"/>
    </row>
    <row r="555">
      <c r="A555" s="2" t="n">
        <v>553</v>
      </c>
      <c r="B555" s="2" t="inlineStr">
        <is>
          <t>71:57.0</t>
        </is>
      </c>
      <c r="C555" s="2" t="inlineStr">
        <is>
          <t>뭔 뜻인지 몰라요</t>
        </is>
      </c>
      <c r="D555" s="6" t="inlineStr">
        <is>
          <t>못알아들음</t>
        </is>
      </c>
      <c r="E555" s="6" t="inlineStr">
        <is>
          <t>いよいよとなれば アイツに車ごとぶつかる</t>
        </is>
      </c>
      <c r="F555" s="6" t="inlineStr">
        <is>
          <t>못 알아들음</t>
        </is>
      </c>
      <c r="G555" s="6" t="inlineStr"/>
      <c r="H555" s="3" t="inlineStr">
        <is>
          <t>いよいよとなれば アイツに車ごとぶつかる / アイツにデンジを やるわけにはいかない / うわあ!?</t>
        </is>
      </c>
      <c r="I555" s="4" t="n"/>
      <c r="J555" s="4" t="n"/>
      <c r="K555" s="4" t="n"/>
    </row>
    <row r="556">
      <c r="A556" s="2" t="n">
        <v>554</v>
      </c>
      <c r="B556" s="2" t="inlineStr">
        <is>
          <t>71:58.0</t>
        </is>
      </c>
      <c r="C556" s="3" t="inlineStr">
        <is>
          <t>아 벌써 먹였어</t>
        </is>
      </c>
      <c r="D556" s="3" t="inlineStr">
        <is>
          <t>반응·혼잣말</t>
        </is>
      </c>
      <c r="E556" s="2" t="inlineStr"/>
      <c r="F556" s="2" t="inlineStr"/>
      <c r="G556" s="2" t="inlineStr"/>
      <c r="H556" s="3" t="inlineStr">
        <is>
          <t>アイツにデンジを やるわけにはいかない / うわあ!? / （早川）なんだ!!</t>
        </is>
      </c>
      <c r="I556" s="4" t="n"/>
      <c r="J556" s="4" t="n"/>
      <c r="K556" s="4" t="n"/>
    </row>
    <row r="557">
      <c r="A557" s="2" t="n">
        <v>555</v>
      </c>
      <c r="B557" s="2" t="inlineStr">
        <is>
          <t>72:09.5</t>
        </is>
      </c>
      <c r="C557" s="2" t="inlineStr">
        <is>
          <t>아직 안 마셨잖아</t>
        </is>
      </c>
      <c r="D557" s="5" t="inlineStr">
        <is>
          <t>옮김</t>
        </is>
      </c>
      <c r="E557" s="5" t="inlineStr">
        <is>
          <t>まだそんな血ィ 飲ませてねえぞ!!</t>
        </is>
      </c>
      <c r="F557" s="5" t="inlineStr">
        <is>
          <t>맞음</t>
        </is>
      </c>
      <c r="G557" s="5" t="inlineStr"/>
      <c r="H557" s="3" t="inlineStr">
        <is>
          <t>（早川）やめろ デンジ!! / まだそんな血ィ 飲ませてねえぞ!! / （デンジ）痛くて死にそ～って 思いながら</t>
        </is>
      </c>
      <c r="I557" s="4" t="n"/>
      <c r="J557" s="4" t="n"/>
      <c r="K557" s="4" t="n"/>
    </row>
    <row r="558">
      <c r="A558" s="2" t="n">
        <v>556</v>
      </c>
      <c r="B558" s="2" t="inlineStr">
        <is>
          <t>72:40.1</t>
        </is>
      </c>
      <c r="C558" s="3" t="inlineStr">
        <is>
          <t>어</t>
        </is>
      </c>
      <c r="D558" s="3" t="inlineStr">
        <is>
          <t>소리·감탄</t>
        </is>
      </c>
      <c r="E558" s="2" t="inlineStr"/>
      <c r="F558" s="2" t="inlineStr"/>
      <c r="G558" s="2" t="inlineStr"/>
      <c r="H558" s="3" t="inlineStr">
        <is>
          <t>あ～!? / 私がデンジ君を 好きなのは本当だよ / えっ マジ…？</t>
        </is>
      </c>
      <c r="I558" s="4" t="n"/>
      <c r="J558" s="4" t="n"/>
      <c r="K558" s="4" t="n"/>
    </row>
    <row r="559">
      <c r="A559" s="2" t="n">
        <v>557</v>
      </c>
      <c r="B559" s="2" t="inlineStr">
        <is>
          <t>72:42.5</t>
        </is>
      </c>
      <c r="C559" s="2" t="inlineStr">
        <is>
          <t>マジ?</t>
        </is>
      </c>
      <c r="D559" s="5" t="inlineStr">
        <is>
          <t>따라함</t>
        </is>
      </c>
      <c r="E559" s="5" t="inlineStr">
        <is>
          <t>えっ マジ…？</t>
        </is>
      </c>
      <c r="F559" s="5" t="inlineStr">
        <is>
          <t>맞음</t>
        </is>
      </c>
      <c r="G559" s="5" t="inlineStr"/>
      <c r="H559" s="3" t="inlineStr">
        <is>
          <t>私がデンジ君を 好きなのは本当だよ / えっ マジ…？ / （クラクションの音） （デンジ）はっ…!!</t>
        </is>
      </c>
      <c r="I559" s="4" t="n"/>
      <c r="J559" s="4" t="n"/>
      <c r="K559" s="4" t="n"/>
    </row>
    <row r="560">
      <c r="A560" s="2" t="n">
        <v>558</v>
      </c>
      <c r="B560" s="2" t="inlineStr">
        <is>
          <t>73:03.5</t>
        </is>
      </c>
      <c r="C560" s="2" t="inlineStr">
        <is>
          <t>마키마</t>
        </is>
      </c>
      <c r="D560" s="5" t="inlineStr">
        <is>
          <t>따라함</t>
        </is>
      </c>
      <c r="E560" s="5" t="inlineStr">
        <is>
          <t>マキマ…</t>
        </is>
      </c>
      <c r="F560" s="5" t="inlineStr">
        <is>
          <t>맞음</t>
        </is>
      </c>
      <c r="G560" s="5" t="inlineStr"/>
      <c r="H560" s="3" t="inlineStr">
        <is>
          <t>別に俺いいも～ん！ / 俺にゃあ マキマさんがいる！ / マキマ…</t>
        </is>
      </c>
      <c r="I560" s="4" t="n"/>
      <c r="J560" s="4" t="n"/>
      <c r="K560" s="4" t="n"/>
    </row>
    <row r="561">
      <c r="A561" s="2" t="n">
        <v>559</v>
      </c>
      <c r="B561" s="2" t="inlineStr">
        <is>
          <t>73:30.4</t>
        </is>
      </c>
      <c r="C561" s="2" t="inlineStr">
        <is>
          <t>おいで、デンジくん</t>
        </is>
      </c>
      <c r="D561" s="5" t="inlineStr">
        <is>
          <t>따라함</t>
        </is>
      </c>
      <c r="E561" s="5" t="inlineStr">
        <is>
          <t>おいで デンジ君</t>
        </is>
      </c>
      <c r="F561" s="5" t="inlineStr">
        <is>
          <t>맞음</t>
        </is>
      </c>
      <c r="G561" s="5" t="inlineStr"/>
      <c r="H561" s="3" t="inlineStr">
        <is>
          <t>逮捕！　逮捕する！ / おいで デンジ君 / 私達の戦い方ってのを 教えてあげる</t>
        </is>
      </c>
      <c r="I561" s="4" t="n"/>
      <c r="J561" s="4" t="n"/>
      <c r="K561" s="4" t="n"/>
    </row>
    <row r="562">
      <c r="A562" s="2" t="n">
        <v>560</v>
      </c>
      <c r="B562" s="2" t="inlineStr">
        <is>
          <t>73:48.5</t>
        </is>
      </c>
      <c r="C562" s="3" t="inlineStr">
        <is>
          <t>개털릴 거 같은데</t>
        </is>
      </c>
      <c r="D562" s="3" t="inlineStr">
        <is>
          <t>반응·혼잣말</t>
        </is>
      </c>
      <c r="E562" s="2" t="inlineStr"/>
      <c r="F562" s="2" t="inlineStr"/>
      <c r="G562" s="2" t="inlineStr"/>
      <c r="H562" s="3" t="inlineStr">
        <is>
          <t>（デンジ）わっ / ああっ！ / ってぇ</t>
        </is>
      </c>
      <c r="I562" s="4" t="n"/>
      <c r="J562" s="4" t="n"/>
      <c r="K562" s="4" t="n"/>
    </row>
    <row r="563">
      <c r="A563" s="2" t="n">
        <v>561</v>
      </c>
      <c r="B563" s="2" t="inlineStr">
        <is>
          <t>73:50.5</t>
        </is>
      </c>
      <c r="C563" s="3" t="inlineStr">
        <is>
          <t>(숨소리)</t>
        </is>
      </c>
      <c r="D563" s="3" t="inlineStr">
        <is>
          <t>소리·감탄</t>
        </is>
      </c>
      <c r="E563" s="2" t="inlineStr"/>
      <c r="F563" s="2" t="inlineStr"/>
      <c r="G563" s="2" t="inlineStr"/>
      <c r="H563" s="3" t="inlineStr">
        <is>
          <t>ああっ！ / ってぇ / （通行人）うわっ！</t>
        </is>
      </c>
      <c r="I563" s="4" t="n"/>
      <c r="J563" s="4" t="n"/>
      <c r="K563" s="4" t="n"/>
    </row>
    <row r="564">
      <c r="A564" s="2" t="n">
        <v>562</v>
      </c>
      <c r="B564" s="2" t="inlineStr">
        <is>
          <t>73:54.0</t>
        </is>
      </c>
      <c r="C564" s="3" t="inlineStr">
        <is>
          <t>어</t>
        </is>
      </c>
      <c r="D564" s="3" t="inlineStr">
        <is>
          <t>소리·감탄</t>
        </is>
      </c>
      <c r="E564" s="2" t="inlineStr"/>
      <c r="F564" s="2" t="inlineStr"/>
      <c r="G564" s="2" t="inlineStr"/>
      <c r="H564" s="3" t="inlineStr">
        <is>
          <t>ああっ！ / ってぇ / （通行人）うわっ！</t>
        </is>
      </c>
      <c r="I564" s="4" t="n"/>
      <c r="J564" s="4" t="n"/>
      <c r="K564" s="4" t="n"/>
    </row>
    <row r="565">
      <c r="A565" s="2" t="n">
        <v>563</v>
      </c>
      <c r="B565" s="2" t="inlineStr">
        <is>
          <t>74:10.0</t>
        </is>
      </c>
      <c r="C565" s="2" t="inlineStr">
        <is>
          <t>응용을 못 한다. 자기 힘을 이해해야 되는데 이해를 못 하니까.</t>
        </is>
      </c>
      <c r="D565" s="5" t="inlineStr">
        <is>
          <t>옮김</t>
        </is>
      </c>
      <c r="E565" s="5" t="inlineStr">
        <is>
          <t>（レゼ） デンジ君 応用ができてないね / もっと自分の力を 理解しなくちゃ</t>
        </is>
      </c>
      <c r="F565" s="5" t="inlineStr">
        <is>
          <t>맞음</t>
        </is>
      </c>
      <c r="G565" s="5" t="inlineStr"/>
      <c r="H565" s="3" t="inlineStr">
        <is>
          <t>（レゼ） デンジ君 応用ができてないね / チェンソー ぶん回すだけじゃダメだよ / もっと自分の力を 理解しなくちゃ</t>
        </is>
      </c>
      <c r="I565" s="4" t="n"/>
      <c r="J565" s="4" t="n"/>
      <c r="K565" s="4" t="n"/>
    </row>
    <row r="566">
      <c r="A566" s="2" t="n">
        <v>564</v>
      </c>
      <c r="B566" s="2" t="inlineStr">
        <is>
          <t>75:06.0</t>
        </is>
      </c>
      <c r="C566" s="3" t="inlineStr">
        <is>
          <t>와</t>
        </is>
      </c>
      <c r="D566" s="3" t="inlineStr">
        <is>
          <t>소리·감탄</t>
        </is>
      </c>
      <c r="E566" s="2" t="inlineStr"/>
      <c r="F566" s="2" t="inlineStr"/>
      <c r="G566" s="2" t="inlineStr"/>
      <c r="H566" s="3" t="inlineStr"/>
      <c r="I566" s="4" t="n"/>
      <c r="J566" s="4" t="n"/>
      <c r="K566" s="4" t="n"/>
    </row>
    <row r="567">
      <c r="A567" s="2" t="n">
        <v>565</v>
      </c>
      <c r="B567" s="2" t="inlineStr">
        <is>
          <t>75:08.0</t>
        </is>
      </c>
      <c r="C567" s="3" t="inlineStr">
        <is>
          <t>개 털리겠네</t>
        </is>
      </c>
      <c r="D567" s="3" t="inlineStr">
        <is>
          <t>반응·혼잣말</t>
        </is>
      </c>
      <c r="E567" s="2" t="inlineStr"/>
      <c r="F567" s="2" t="inlineStr"/>
      <c r="G567" s="2" t="inlineStr"/>
      <c r="H567" s="3" t="inlineStr"/>
      <c r="I567" s="4" t="n"/>
      <c r="J567" s="4" t="n"/>
      <c r="K567" s="4" t="n"/>
    </row>
    <row r="568">
      <c r="A568" s="2" t="n">
        <v>566</v>
      </c>
      <c r="B568" s="2" t="inlineStr">
        <is>
          <t>75:10.0</t>
        </is>
      </c>
      <c r="C568" s="3" t="inlineStr">
        <is>
          <t>와우</t>
        </is>
      </c>
      <c r="D568" s="3" t="inlineStr">
        <is>
          <t>반응·혼잣말</t>
        </is>
      </c>
      <c r="E568" s="2" t="inlineStr"/>
      <c r="F568" s="2" t="inlineStr"/>
      <c r="G568" s="2" t="inlineStr"/>
      <c r="H568" s="3" t="inlineStr"/>
      <c r="I568" s="4" t="n"/>
      <c r="J568" s="4" t="n"/>
      <c r="K568" s="4" t="n"/>
    </row>
    <row r="569">
      <c r="A569" s="2" t="n">
        <v>567</v>
      </c>
      <c r="B569" s="2" t="inlineStr">
        <is>
          <t>75:32.0</t>
        </is>
      </c>
      <c r="C569" s="3" t="inlineStr">
        <is>
          <t>어 무서워</t>
        </is>
      </c>
      <c r="D569" s="3" t="inlineStr">
        <is>
          <t>반응·혼잣말</t>
        </is>
      </c>
      <c r="E569" s="2" t="inlineStr"/>
      <c r="F569" s="2" t="inlineStr"/>
      <c r="G569" s="2" t="inlineStr"/>
      <c r="H569" s="3" t="inlineStr">
        <is>
          <t>（レゼ）再生… / 蹴られる前に エンジン吹かしてたか / ああ…</t>
        </is>
      </c>
      <c r="I569" s="4" t="n"/>
      <c r="J569" s="4" t="n"/>
      <c r="K569" s="4" t="n"/>
    </row>
    <row r="570">
      <c r="A570" s="2" t="n">
        <v>568</v>
      </c>
      <c r="B570" s="2" t="inlineStr">
        <is>
          <t>75:48.6</t>
        </is>
      </c>
      <c r="C570" s="3" t="inlineStr">
        <is>
          <t>죽이진 않는구나, 심장 가져가야 되니까.</t>
        </is>
      </c>
      <c r="D570" s="3" t="inlineStr">
        <is>
          <t>반응·혼잣말</t>
        </is>
      </c>
      <c r="E570" s="2" t="inlineStr"/>
      <c r="F570" s="2" t="inlineStr"/>
      <c r="G570" s="2" t="inlineStr"/>
      <c r="H570" s="3" t="inlineStr">
        <is>
          <t>蹴られる前に エンジン吹かしてたか / ああ…</t>
        </is>
      </c>
      <c r="I570" s="4" t="n"/>
      <c r="J570" s="4" t="n"/>
      <c r="K570" s="4" t="n"/>
    </row>
    <row r="571">
      <c r="A571" s="2" t="n">
        <v>569</v>
      </c>
      <c r="B571" s="2" t="inlineStr">
        <is>
          <t>76:08.0</t>
        </is>
      </c>
      <c r="C571" s="3" t="inlineStr">
        <is>
          <t>음</t>
        </is>
      </c>
      <c r="D571" s="3" t="inlineStr">
        <is>
          <t>소리·감탄</t>
        </is>
      </c>
      <c r="E571" s="2" t="inlineStr"/>
      <c r="F571" s="2" t="inlineStr"/>
      <c r="G571" s="2" t="inlineStr"/>
      <c r="H571" s="3" t="inlineStr">
        <is>
          <t>（民間人Ｃ）あ あぁ… / 悪魔…</t>
        </is>
      </c>
      <c r="I571" s="4" t="n"/>
      <c r="J571" s="4" t="n"/>
      <c r="K571" s="4" t="n"/>
    </row>
    <row r="572">
      <c r="A572" s="2" t="n">
        <v>570</v>
      </c>
      <c r="B572" s="2" t="inlineStr">
        <is>
          <t>76:28.0</t>
        </is>
      </c>
      <c r="C572" s="3" t="inlineStr">
        <is>
          <t>음</t>
        </is>
      </c>
      <c r="D572" s="3" t="inlineStr">
        <is>
          <t>소리·감탄</t>
        </is>
      </c>
      <c r="E572" s="2" t="inlineStr"/>
      <c r="F572" s="2" t="inlineStr"/>
      <c r="G572" s="2" t="inlineStr"/>
      <c r="H572" s="3" t="inlineStr">
        <is>
          <t>未来が見えるといっても / 数秒先だけ / それに体が反応できるかは わからない</t>
        </is>
      </c>
      <c r="I572" s="4" t="n"/>
      <c r="J572" s="4" t="n"/>
      <c r="K572" s="4" t="n"/>
    </row>
    <row r="573">
      <c r="A573" s="2" t="n">
        <v>571</v>
      </c>
      <c r="B573" s="2" t="inlineStr">
        <is>
          <t>76:37.2</t>
        </is>
      </c>
      <c r="C573" s="3" t="inlineStr">
        <is>
          <t>어</t>
        </is>
      </c>
      <c r="D573" s="3" t="inlineStr">
        <is>
          <t>소리·감탄</t>
        </is>
      </c>
      <c r="E573" s="2" t="inlineStr"/>
      <c r="F573" s="2" t="inlineStr"/>
      <c r="G573" s="2" t="inlineStr"/>
      <c r="H573" s="3" t="inlineStr">
        <is>
          <t>数秒先だけ / それに体が反応できるかは わからない / （早川）最高の判断</t>
        </is>
      </c>
      <c r="I573" s="4" t="n"/>
      <c r="J573" s="4" t="n"/>
      <c r="K573" s="4" t="n"/>
    </row>
    <row r="574">
      <c r="A574" s="2" t="n">
        <v>572</v>
      </c>
      <c r="B574" s="2" t="inlineStr">
        <is>
          <t>76:57.0</t>
        </is>
      </c>
      <c r="C574" s="3" t="inlineStr">
        <is>
          <t>얘는 미래 정해져 있어서 안 죽지 않나?</t>
        </is>
      </c>
      <c r="D574" s="3" t="inlineStr">
        <is>
          <t>반응·혼잣말</t>
        </is>
      </c>
      <c r="E574" s="2" t="inlineStr"/>
      <c r="F574" s="2" t="inlineStr"/>
      <c r="G574" s="2" t="inlineStr"/>
      <c r="H574" s="3" t="inlineStr">
        <is>
          <t>最高の判断 / 最… 高の… / （暴力の魔人）あっぶね！</t>
        </is>
      </c>
      <c r="I574" s="4" t="n"/>
      <c r="J574" s="4" t="n"/>
      <c r="K574" s="4" t="n"/>
    </row>
    <row r="575">
      <c r="A575" s="2" t="n">
        <v>573</v>
      </c>
      <c r="B575" s="2" t="inlineStr">
        <is>
          <t>77:01.0</t>
        </is>
      </c>
      <c r="C575" s="3" t="inlineStr">
        <is>
          <t>음</t>
        </is>
      </c>
      <c r="D575" s="3" t="inlineStr">
        <is>
          <t>소리·감탄</t>
        </is>
      </c>
      <c r="E575" s="2" t="inlineStr"/>
      <c r="F575" s="2" t="inlineStr"/>
      <c r="G575" s="2" t="inlineStr"/>
      <c r="H575" s="3" t="inlineStr">
        <is>
          <t>（暴力の魔人）あっぶね！ / （早川）はっ…！ / （暴力の魔人）ごめんな～ 遅くなった！</t>
        </is>
      </c>
      <c r="I575" s="4" t="n"/>
      <c r="J575" s="4" t="n"/>
      <c r="K575" s="4" t="n"/>
    </row>
    <row r="576">
      <c r="A576" s="2" t="n">
        <v>574</v>
      </c>
      <c r="B576" s="2" t="inlineStr">
        <is>
          <t>77:04.0</t>
        </is>
      </c>
      <c r="C576" s="3" t="inlineStr">
        <is>
          <t>음</t>
        </is>
      </c>
      <c r="D576" s="3" t="inlineStr">
        <is>
          <t>소리·감탄</t>
        </is>
      </c>
      <c r="E576" s="2" t="inlineStr"/>
      <c r="F576" s="2" t="inlineStr"/>
      <c r="G576" s="2" t="inlineStr"/>
      <c r="H576" s="3" t="inlineStr">
        <is>
          <t>（早川）はっ…！ / （暴力の魔人）ごめんな～ 遅くなった！ / はじめて悪魔と ダチなりたいと思ったぜ</t>
        </is>
      </c>
      <c r="I576" s="4" t="n"/>
      <c r="J576" s="4" t="n"/>
      <c r="K576" s="4" t="n"/>
    </row>
    <row r="577">
      <c r="A577" s="2" t="n">
        <v>575</v>
      </c>
      <c r="B577" s="2" t="inlineStr">
        <is>
          <t>77:21.0</t>
        </is>
      </c>
      <c r="C577" s="2" t="inlineStr">
        <is>
          <t>일 대 이</t>
        </is>
      </c>
      <c r="D577" s="7" t="inlineStr">
        <is>
          <t>옮김</t>
        </is>
      </c>
      <c r="E577" s="7" t="inlineStr">
        <is>
          <t>そっちは二人って ズルいでしょ</t>
        </is>
      </c>
      <c r="F577" s="7" t="inlineStr">
        <is>
          <t>대체로 맞음</t>
        </is>
      </c>
      <c r="G577" s="7" t="inlineStr"/>
      <c r="H577" s="3" t="inlineStr">
        <is>
          <t>こっちは貧血でほとんど裸 / そっちは二人って ズルいでしょ / （暴力の魔人）確かになあ… なんかハンデあげます？</t>
        </is>
      </c>
      <c r="I577" s="4" t="n"/>
      <c r="J577" s="4" t="n"/>
      <c r="K577" s="4" t="n"/>
    </row>
    <row r="578">
      <c r="A578" s="2" t="n">
        <v>576</v>
      </c>
      <c r="B578" s="2" t="inlineStr">
        <is>
          <t>77:39.0</t>
        </is>
      </c>
      <c r="C578" s="3" t="inlineStr">
        <is>
          <t>오 씨발 왜 이렇게 커</t>
        </is>
      </c>
      <c r="D578" s="3" t="inlineStr">
        <is>
          <t>반응·혼잣말</t>
        </is>
      </c>
      <c r="E578" s="2" t="inlineStr"/>
      <c r="F578" s="2" t="inlineStr"/>
      <c r="G578" s="2" t="inlineStr"/>
      <c r="H578" s="3" t="inlineStr">
        <is>
          <t>レゼ様！ / 台風タダイマ サンジョウシマシタ！ / （暴力の魔人）ズルう～！</t>
        </is>
      </c>
      <c r="I578" s="4" t="n"/>
      <c r="J578" s="4" t="n"/>
      <c r="K578" s="4" t="n"/>
    </row>
    <row r="579">
      <c r="A579" s="2" t="n">
        <v>577</v>
      </c>
      <c r="B579" s="2" t="inlineStr">
        <is>
          <t>77:45.0</t>
        </is>
      </c>
      <c r="C579" s="3" t="inlineStr">
        <is>
          <t>아줌마네</t>
        </is>
      </c>
      <c r="D579" s="3" t="inlineStr">
        <is>
          <t>반응·혼잣말</t>
        </is>
      </c>
      <c r="E579" s="2" t="inlineStr"/>
      <c r="F579" s="2" t="inlineStr"/>
      <c r="G579" s="2" t="inlineStr"/>
      <c r="H579" s="3" t="inlineStr">
        <is>
          <t>レゼ様！ / 台風タダイマ サンジョウシマシタ！ / （暴力の魔人）ズルう～！</t>
        </is>
      </c>
      <c r="I579" s="4" t="n"/>
      <c r="J579" s="4" t="n"/>
      <c r="K579" s="4" t="n"/>
    </row>
    <row r="580">
      <c r="A580" s="2" t="n">
        <v>578</v>
      </c>
      <c r="B580" s="2" t="inlineStr">
        <is>
          <t>77:50.0</t>
        </is>
      </c>
      <c r="C580" s="3" t="inlineStr">
        <is>
          <t>음.</t>
        </is>
      </c>
      <c r="D580" s="3" t="inlineStr">
        <is>
          <t>소리·감탄</t>
        </is>
      </c>
      <c r="E580" s="2" t="inlineStr"/>
      <c r="F580" s="2" t="inlineStr"/>
      <c r="G580" s="2" t="inlineStr"/>
      <c r="H580" s="3" t="inlineStr">
        <is>
          <t>レゼ様！ / 台風タダイマ サンジョウシマシタ！ / （暴力の魔人）ズルう～！</t>
        </is>
      </c>
      <c r="I580" s="4" t="n"/>
      <c r="J580" s="4" t="n"/>
      <c r="K580" s="4" t="n"/>
    </row>
    <row r="581">
      <c r="A581" s="2" t="n">
        <v>579</v>
      </c>
      <c r="B581" s="2" t="inlineStr">
        <is>
          <t>77:58.0</t>
        </is>
      </c>
      <c r="C581" s="3" t="inlineStr">
        <is>
          <t>이 새끼가 남자라는 게 더 충격적이에요.</t>
        </is>
      </c>
      <c r="D581" s="3" t="inlineStr">
        <is>
          <t>반응·혼잣말</t>
        </is>
      </c>
      <c r="E581" s="2" t="inlineStr"/>
      <c r="F581" s="2" t="inlineStr"/>
      <c r="G581" s="2" t="inlineStr"/>
      <c r="H581" s="3" t="inlineStr">
        <is>
          <t>（女性）あ　ああ… う… / あ あ あっ… うっ / （天使の悪魔）大丈夫</t>
        </is>
      </c>
      <c r="I581" s="4" t="n"/>
      <c r="J581" s="4" t="n"/>
      <c r="K581" s="4" t="n"/>
    </row>
    <row r="582">
      <c r="A582" s="2" t="n">
        <v>580</v>
      </c>
      <c r="B582" s="2" t="inlineStr">
        <is>
          <t>78:04.2</t>
        </is>
      </c>
      <c r="C582" s="2" t="inlineStr">
        <is>
          <t>너는 천국에 갈 거니까.</t>
        </is>
      </c>
      <c r="D582" s="5" t="inlineStr">
        <is>
          <t>옮김</t>
        </is>
      </c>
      <c r="E582" s="5" t="inlineStr">
        <is>
          <t>キミは天国へ行くんだから</t>
        </is>
      </c>
      <c r="F582" s="5" t="inlineStr">
        <is>
          <t>맞음</t>
        </is>
      </c>
      <c r="G582" s="5" t="inlineStr"/>
      <c r="H582" s="3" t="inlineStr">
        <is>
          <t>あ あ あっ… うっ / （天使の悪魔）大丈夫 / キミは天国へ行くんだから</t>
        </is>
      </c>
      <c r="I582" s="4" t="n"/>
      <c r="J582" s="4" t="n"/>
      <c r="K582" s="4" t="n"/>
    </row>
    <row r="583">
      <c r="A583" s="2" t="n">
        <v>581</v>
      </c>
      <c r="B583" s="2" t="inlineStr">
        <is>
          <t>78:12.0</t>
        </is>
      </c>
      <c r="C583" s="2" t="inlineStr">
        <is>
          <t>음, 피.</t>
        </is>
      </c>
      <c r="D583" s="10" t="inlineStr">
        <is>
          <t>옮김</t>
        </is>
      </c>
      <c r="E583" s="10" t="inlineStr">
        <is>
          <t>血を貰うよ</t>
        </is>
      </c>
      <c r="F583" s="10" t="inlineStr">
        <is>
          <t>조금 맞음</t>
        </is>
      </c>
      <c r="G583" s="10" t="inlineStr">
        <is>
          <t>피만</t>
        </is>
      </c>
      <c r="H583" s="3" t="inlineStr">
        <is>
          <t>キミは天国へ行くんだから / 血を貰うよ / ごめんね…</t>
        </is>
      </c>
      <c r="I583" s="4" t="n"/>
      <c r="J583" s="4" t="n"/>
      <c r="K583" s="4" t="n"/>
    </row>
    <row r="584">
      <c r="A584" s="2" t="n">
        <v>582</v>
      </c>
      <c r="B584" s="2" t="inlineStr">
        <is>
          <t>78:22.0</t>
        </is>
      </c>
      <c r="C584" s="2" t="inlineStr">
        <is>
          <t>血をもらうわ,</t>
        </is>
      </c>
      <c r="D584" s="7" t="inlineStr">
        <is>
          <t>따라함</t>
        </is>
      </c>
      <c r="E584" s="7" t="inlineStr">
        <is>
          <t>血を貰うよ</t>
        </is>
      </c>
      <c r="F584" s="7" t="inlineStr">
        <is>
          <t>대체로 맞음</t>
        </is>
      </c>
      <c r="G584" s="7" t="inlineStr">
        <is>
          <t>よ → わ</t>
        </is>
      </c>
      <c r="H584" s="3" t="inlineStr">
        <is>
          <t>血を貰うよ / ごめんね… / （ビーム）イイ… ギイ…</t>
        </is>
      </c>
      <c r="I584" s="4" t="n"/>
      <c r="J584" s="4" t="n"/>
      <c r="K584" s="4" t="n"/>
    </row>
    <row r="585">
      <c r="A585" s="2" t="n">
        <v>583</v>
      </c>
      <c r="B585" s="2" t="inlineStr">
        <is>
          <t>78:23.0</t>
        </is>
      </c>
      <c r="C585" s="2" t="inlineStr">
        <is>
          <t>야 피 받아 갈게.</t>
        </is>
      </c>
      <c r="D585" s="5" t="inlineStr">
        <is>
          <t>옮김</t>
        </is>
      </c>
      <c r="E585" s="5" t="inlineStr">
        <is>
          <t>血を貰うよ</t>
        </is>
      </c>
      <c r="F585" s="5" t="inlineStr">
        <is>
          <t>맞음</t>
        </is>
      </c>
      <c r="G585" s="5" t="inlineStr"/>
      <c r="H585" s="3" t="inlineStr">
        <is>
          <t>血を貰うよ / ごめんね… / （ビーム）イイ… ギイ…</t>
        </is>
      </c>
      <c r="I585" s="4" t="n"/>
      <c r="J585" s="4" t="n"/>
      <c r="K585" s="4" t="n"/>
    </row>
    <row r="586">
      <c r="A586" s="2" t="n">
        <v>584</v>
      </c>
      <c r="B586" s="2" t="inlineStr">
        <is>
          <t>78:40.0</t>
        </is>
      </c>
      <c r="C586" s="2" t="inlineStr">
        <is>
          <t>보통 악마였으면 죽었을 텐데.</t>
        </is>
      </c>
      <c r="D586" s="5" t="inlineStr">
        <is>
          <t>옮김</t>
        </is>
      </c>
      <c r="E586" s="5" t="inlineStr">
        <is>
          <t>普通の悪魔なら死んでるのに…！</t>
        </is>
      </c>
      <c r="F586" s="5" t="inlineStr">
        <is>
          <t>맞음</t>
        </is>
      </c>
      <c r="G586" s="5" t="inlineStr"/>
      <c r="H586" s="3" t="inlineStr">
        <is>
          <t>（デンジ）はっ!! （ビーム）わっ!! / 普通の悪魔なら死んでるのに…！ / さすがチェンソー様!! すげえ　すごい!!</t>
        </is>
      </c>
      <c r="I586" s="4" t="n"/>
      <c r="J586" s="4" t="n"/>
      <c r="K586" s="4" t="n"/>
    </row>
    <row r="587">
      <c r="A587" s="2" t="n">
        <v>585</v>
      </c>
      <c r="B587" s="2" t="inlineStr">
        <is>
          <t>78:46.7</t>
        </is>
      </c>
      <c r="C587" s="2" t="inlineStr">
        <is>
          <t>君の彼女がころ、人をころ</t>
        </is>
      </c>
      <c r="D587" s="10" t="inlineStr">
        <is>
          <t>따라함</t>
        </is>
      </c>
      <c r="E587" s="10" t="inlineStr">
        <is>
          <t>（天使の悪魔）キミの彼女は 人を殺しすぎてる</t>
        </is>
      </c>
      <c r="F587" s="10" t="inlineStr">
        <is>
          <t>조금 맞음</t>
        </is>
      </c>
      <c r="G587" s="10" t="inlineStr"/>
      <c r="H587" s="3" t="inlineStr">
        <is>
          <t>普通の悪魔なら死んでるのに…！ / さすがチェンソー様!! すげえ　すごい!! / （天使の悪魔）キミの彼女は 人を殺しすぎてる</t>
        </is>
      </c>
      <c r="I587" s="4" t="n"/>
      <c r="J587" s="4" t="n"/>
      <c r="K587" s="4" t="n"/>
    </row>
    <row r="588">
      <c r="A588" s="2" t="n">
        <v>586</v>
      </c>
      <c r="B588" s="2" t="inlineStr">
        <is>
          <t>78:50.8</t>
        </is>
      </c>
      <c r="C588" s="2" t="inlineStr">
        <is>
          <t>어 뭐, 뭐, 여자친구가 사람 죽이고 있다고.</t>
        </is>
      </c>
      <c r="D588" s="7" t="inlineStr">
        <is>
          <t>옮김</t>
        </is>
      </c>
      <c r="E588" s="7" t="inlineStr">
        <is>
          <t>（天使の悪魔）キミの彼女は 人を殺しすぎてる</t>
        </is>
      </c>
      <c r="F588" s="7" t="inlineStr">
        <is>
          <t>대체로 맞음</t>
        </is>
      </c>
      <c r="G588" s="7" t="inlineStr">
        <is>
          <t>殺しすぎてる → 죽이고 있다</t>
        </is>
      </c>
      <c r="H588" s="3" t="inlineStr">
        <is>
          <t>普通の悪魔なら死んでるのに…！ / さすがチェンソー様!! すげえ　すごい!! / （天使の悪魔）キミの彼女は 人を殺しすぎてる</t>
        </is>
      </c>
      <c r="I588" s="4" t="n"/>
      <c r="J588" s="4" t="n"/>
      <c r="K588" s="4" t="n"/>
    </row>
    <row r="589">
      <c r="A589" s="2" t="n">
        <v>587</v>
      </c>
      <c r="B589" s="2" t="inlineStr">
        <is>
          <t>78:56.9</t>
        </is>
      </c>
      <c r="C589" s="3" t="inlineStr">
        <is>
          <t>음.</t>
        </is>
      </c>
      <c r="D589" s="3" t="inlineStr">
        <is>
          <t>소리·감탄</t>
        </is>
      </c>
      <c r="E589" s="2" t="inlineStr"/>
      <c r="F589" s="2" t="inlineStr"/>
      <c r="G589" s="2" t="inlineStr"/>
      <c r="H589" s="3" t="inlineStr">
        <is>
          <t>（天使の悪魔）キミの彼女は 人を殺しすぎてる / このまま野放しにしたら もっと大勢 死ぬ / チェンソー君 選びなよ</t>
        </is>
      </c>
      <c r="I589" s="4" t="n"/>
      <c r="J589" s="4" t="n"/>
      <c r="K589" s="4" t="n"/>
    </row>
    <row r="590">
      <c r="A590" s="2" t="n">
        <v>588</v>
      </c>
      <c r="B590" s="2" t="inlineStr">
        <is>
          <t>79:06.0</t>
        </is>
      </c>
      <c r="C590" s="2" t="inlineStr">
        <is>
          <t>彼女を殺すか</t>
        </is>
      </c>
      <c r="D590" s="5" t="inlineStr">
        <is>
          <t>따라함</t>
        </is>
      </c>
      <c r="E590" s="5" t="inlineStr">
        <is>
          <t>彼女を殺すか</t>
        </is>
      </c>
      <c r="F590" s="5" t="inlineStr">
        <is>
          <t>맞음</t>
        </is>
      </c>
      <c r="G590" s="5" t="inlineStr"/>
      <c r="H590" s="3" t="inlineStr">
        <is>
          <t>チェンソー君 選びなよ / 大人しく彼女に殺されて 被害を抑えるか / 彼女を殺すか</t>
        </is>
      </c>
      <c r="I590" s="4" t="n"/>
      <c r="J590" s="4" t="n"/>
      <c r="K590" s="4" t="n"/>
    </row>
    <row r="591">
      <c r="A591" s="2" t="n">
        <v>589</v>
      </c>
      <c r="B591" s="2" t="inlineStr">
        <is>
          <t>79:07.7</t>
        </is>
      </c>
      <c r="C591" s="2" t="inlineStr">
        <is>
          <t>그녀를 죽일 것인가</t>
        </is>
      </c>
      <c r="D591" s="5" t="inlineStr">
        <is>
          <t>옮김</t>
        </is>
      </c>
      <c r="E591" s="5" t="inlineStr">
        <is>
          <t>彼女を殺すか</t>
        </is>
      </c>
      <c r="F591" s="5" t="inlineStr">
        <is>
          <t>맞음</t>
        </is>
      </c>
      <c r="G591" s="5" t="inlineStr"/>
      <c r="H591" s="3" t="inlineStr">
        <is>
          <t>大人しく彼女に殺されて 被害を抑えるか / 彼女を殺すか / （デンジ）こっちはずいぶん 簡単な選択肢だなあ</t>
        </is>
      </c>
      <c r="I591" s="4" t="n"/>
      <c r="J591" s="4" t="n"/>
      <c r="K591" s="4" t="n"/>
    </row>
    <row r="592">
      <c r="A592" s="2" t="n">
        <v>590</v>
      </c>
      <c r="B592" s="2" t="inlineStr">
        <is>
          <t>79:55.0</t>
        </is>
      </c>
      <c r="C592" s="2" t="inlineStr">
        <is>
          <t>음, 체인소 응용해서 이동하겠다고?</t>
        </is>
      </c>
      <c r="D592" s="5" t="inlineStr">
        <is>
          <t>추측</t>
        </is>
      </c>
      <c r="E592" s="5" t="inlineStr">
        <is>
          <t>チェーンを使った移動…！</t>
        </is>
      </c>
      <c r="F592" s="5" t="inlineStr">
        <is>
          <t>맞음</t>
        </is>
      </c>
      <c r="G592" s="5" t="inlineStr"/>
      <c r="H592" s="3" t="inlineStr">
        <is>
          <t>そういう事か！　わかった！ / [시각추정] そういう事か！　わかった！ / チェーンを使った移動…！</t>
        </is>
      </c>
      <c r="I592" s="4" t="n"/>
      <c r="J592" s="4" t="n"/>
      <c r="K592" s="4" t="n"/>
    </row>
    <row r="593">
      <c r="A593" s="2" t="n">
        <v>591</v>
      </c>
      <c r="B593" s="2" t="inlineStr">
        <is>
          <t>80:25.5</t>
        </is>
      </c>
      <c r="C593" s="2" t="inlineStr">
        <is>
          <t>음, 말처럼 달리라고?</t>
        </is>
      </c>
      <c r="D593" s="5" t="inlineStr">
        <is>
          <t>옮김</t>
        </is>
      </c>
      <c r="E593" s="5" t="inlineStr">
        <is>
          <t>ビームが馬みてえに 走るってコトだ！</t>
        </is>
      </c>
      <c r="F593" s="5" t="inlineStr">
        <is>
          <t>맞음</t>
        </is>
      </c>
      <c r="G593" s="5" t="inlineStr"/>
      <c r="H593" s="3" t="inlineStr">
        <is>
          <t>俺がチェーンで調教して！ / ビームが馬みてえに 走るってコトだ！ / ギィ… チギャウ…</t>
        </is>
      </c>
      <c r="I593" s="4" t="n"/>
      <c r="J593" s="4" t="n"/>
      <c r="K593" s="4" t="n"/>
    </row>
    <row r="594">
      <c r="A594" s="2" t="n">
        <v>592</v>
      </c>
      <c r="B594" s="2" t="inlineStr">
        <is>
          <t>80:28.0</t>
        </is>
      </c>
      <c r="C594" s="2" t="inlineStr">
        <is>
          <t>違う</t>
        </is>
      </c>
      <c r="D594" s="5" t="inlineStr">
        <is>
          <t>따라함</t>
        </is>
      </c>
      <c r="E594" s="5" t="inlineStr">
        <is>
          <t>ギィ… チギャウ…</t>
        </is>
      </c>
      <c r="F594" s="5" t="inlineStr">
        <is>
          <t>맞음</t>
        </is>
      </c>
      <c r="G594" s="5" t="inlineStr"/>
      <c r="H594" s="3" t="inlineStr">
        <is>
          <t>ビームが馬みてえに 走るってコトだ！ / ギィ… チギャウ… / チギャウ…</t>
        </is>
      </c>
      <c r="I594" s="4" t="n"/>
      <c r="J594" s="4" t="n"/>
      <c r="K594" s="4" t="n"/>
    </row>
    <row r="595">
      <c r="A595" s="2" t="n">
        <v>593</v>
      </c>
      <c r="B595" s="2" t="inlineStr">
        <is>
          <t>80:31.1</t>
        </is>
      </c>
      <c r="C595" s="2" t="inlineStr">
        <is>
          <t>違う</t>
        </is>
      </c>
      <c r="D595" s="5" t="inlineStr">
        <is>
          <t>따라함</t>
        </is>
      </c>
      <c r="E595" s="5" t="inlineStr">
        <is>
          <t>（天使の悪魔）そういう事なの!? 違うんじゃないか!?</t>
        </is>
      </c>
      <c r="F595" s="5" t="inlineStr">
        <is>
          <t>맞음</t>
        </is>
      </c>
      <c r="G595" s="5" t="inlineStr"/>
      <c r="H595" s="3" t="inlineStr">
        <is>
          <t>チギャウ… / （天使の悪魔）そういう事なの!? 違うんじゃないか!? / なんかこう チェーンを 腕から飛ばして</t>
        </is>
      </c>
      <c r="I595" s="4" t="n"/>
      <c r="J595" s="4" t="n"/>
      <c r="K595" s="4" t="n"/>
    </row>
    <row r="596">
      <c r="A596" s="2" t="n">
        <v>594</v>
      </c>
      <c r="B596" s="2" t="inlineStr">
        <is>
          <t>80:53.5</t>
        </is>
      </c>
      <c r="C596" s="3" t="inlineStr">
        <is>
          <t>어 뭐야 존나 빠르네</t>
        </is>
      </c>
      <c r="D596" s="3" t="inlineStr">
        <is>
          <t>반응·혼잣말</t>
        </is>
      </c>
      <c r="E596" s="2" t="inlineStr"/>
      <c r="F596" s="2" t="inlineStr"/>
      <c r="G596" s="2" t="inlineStr"/>
      <c r="H596" s="3" t="inlineStr">
        <is>
          <t>（デンジ） っしゃあ　走れ ビーム!! / （ビーム）大正解！ / 正解!!　正解!!　正解!!　正解!!</t>
        </is>
      </c>
      <c r="I596" s="4" t="n"/>
      <c r="J596" s="4" t="n"/>
      <c r="K596" s="4" t="n"/>
    </row>
    <row r="597">
      <c r="A597" s="2" t="n">
        <v>595</v>
      </c>
      <c r="B597" s="2" t="inlineStr">
        <is>
          <t>82:00.0</t>
        </is>
      </c>
      <c r="C597" s="3" t="inlineStr">
        <is>
          <t>아.</t>
        </is>
      </c>
      <c r="D597" s="3" t="inlineStr">
        <is>
          <t>소리·감탄</t>
        </is>
      </c>
      <c r="E597" s="2" t="inlineStr"/>
      <c r="F597" s="2" t="inlineStr"/>
      <c r="G597" s="2" t="inlineStr"/>
      <c r="H597" s="3" t="inlineStr">
        <is>
          <t>（レゼ）はっ！ / （デンジ）オッラアッ！ / （レゼ）痛(い)った</t>
        </is>
      </c>
      <c r="I597" s="4" t="n"/>
      <c r="J597" s="4" t="n"/>
      <c r="K597" s="4" t="n"/>
    </row>
    <row r="598">
      <c r="A598" s="2" t="n">
        <v>596</v>
      </c>
      <c r="B598" s="2" t="inlineStr">
        <is>
          <t>83:03.0</t>
        </is>
      </c>
      <c r="C598" s="2" t="inlineStr">
        <is>
          <t>얜 왜 자꾸 죽으려고 하는 거지?</t>
        </is>
      </c>
      <c r="D598" s="7" t="inlineStr">
        <is>
          <t>추측</t>
        </is>
      </c>
      <c r="E598" s="7" t="inlineStr">
        <is>
          <t>死ぬ覚悟は ずっとできている</t>
        </is>
      </c>
      <c r="F598" s="7" t="inlineStr">
        <is>
          <t>대체로 맞음</t>
        </is>
      </c>
      <c r="G598" s="7" t="inlineStr"/>
      <c r="H598" s="3" t="inlineStr">
        <is>
          <t>今日が死期だったんだ！ / 大丈夫…！ / 死ぬ覚悟は ずっとできている</t>
        </is>
      </c>
      <c r="I598" s="4" t="n"/>
      <c r="J598" s="4" t="n"/>
      <c r="K598" s="4" t="n"/>
    </row>
    <row r="599">
      <c r="A599" s="2" t="n">
        <v>597</v>
      </c>
      <c r="B599" s="2" t="inlineStr">
        <is>
          <t>83:09.2</t>
        </is>
      </c>
      <c r="C599" s="3" t="inlineStr">
        <is>
          <t>음.</t>
        </is>
      </c>
      <c r="D599" s="3" t="inlineStr">
        <is>
          <t>소리·감탄</t>
        </is>
      </c>
      <c r="E599" s="2" t="inlineStr"/>
      <c r="F599" s="2" t="inlineStr"/>
      <c r="G599" s="2" t="inlineStr"/>
      <c r="H599" s="3" t="inlineStr">
        <is>
          <t>大丈夫…！ / 死ぬ覚悟は ずっとできている / ぐうっ！</t>
        </is>
      </c>
      <c r="I599" s="4" t="n"/>
      <c r="J599" s="4" t="n"/>
      <c r="K599" s="4" t="n"/>
    </row>
    <row r="600">
      <c r="A600" s="2" t="n">
        <v>598</v>
      </c>
      <c r="B600" s="2" t="inlineStr">
        <is>
          <t>84:06.0</t>
        </is>
      </c>
      <c r="C600" s="2" t="inlineStr">
        <is>
          <t>음, 눈앞에서 죽는 거는 원하지 않는다는 거구만.</t>
        </is>
      </c>
      <c r="D600" s="5" t="inlineStr">
        <is>
          <t>옮김</t>
        </is>
      </c>
      <c r="E600" s="5" t="inlineStr">
        <is>
          <t>目の前で死なれるのだけは…</t>
        </is>
      </c>
      <c r="F600" s="5" t="inlineStr">
        <is>
          <t>맞음</t>
        </is>
      </c>
      <c r="G600" s="5" t="inlineStr"/>
      <c r="H600" s="3" t="inlineStr">
        <is>
          <t>死にたいなら どっか遠くで死んでくれ… / 目の前で死なれるのだけは… / もう御免だ…</t>
        </is>
      </c>
      <c r="I600" s="4" t="n"/>
      <c r="J600" s="4" t="n"/>
      <c r="K600" s="4" t="n"/>
    </row>
    <row r="601">
      <c r="A601" s="2" t="n">
        <v>599</v>
      </c>
      <c r="B601" s="2" t="inlineStr">
        <is>
          <t>84:29.4</t>
        </is>
      </c>
      <c r="C601" s="3" t="inlineStr">
        <is>
          <t>유도탄인가?</t>
        </is>
      </c>
      <c r="D601" s="3" t="inlineStr">
        <is>
          <t>반응·혼잣말</t>
        </is>
      </c>
      <c r="E601" s="2" t="inlineStr"/>
      <c r="F601" s="2" t="inlineStr"/>
      <c r="G601" s="2" t="inlineStr"/>
      <c r="H601" s="3" t="inlineStr">
        <is>
          <t>もう御免だ… / （ビーム）チェンソー様！ ヤバいです　何か来てる！ / チェンソーさまああああ!!</t>
        </is>
      </c>
      <c r="I601" s="4" t="n"/>
      <c r="J601" s="4" t="n"/>
      <c r="K601" s="4" t="n"/>
    </row>
    <row r="602">
      <c r="A602" s="2" t="n">
        <v>600</v>
      </c>
      <c r="B602" s="2" t="inlineStr">
        <is>
          <t>84:45.0</t>
        </is>
      </c>
      <c r="C602" s="3" t="inlineStr">
        <is>
          <t>((웃음))</t>
        </is>
      </c>
      <c r="D602" s="3" t="inlineStr">
        <is>
          <t>소리·감탄</t>
        </is>
      </c>
      <c r="E602" s="2" t="inlineStr"/>
      <c r="F602" s="2" t="inlineStr"/>
      <c r="G602" s="2" t="inlineStr"/>
      <c r="H602" s="3" t="inlineStr">
        <is>
          <t>（レゼ）ん？　あれ？ / あわわわ / （台風の悪魔）うああー！</t>
        </is>
      </c>
      <c r="I602" s="4" t="n"/>
      <c r="J602" s="4" t="n"/>
      <c r="K602" s="4" t="n"/>
    </row>
    <row r="603">
      <c r="A603" s="2" t="n">
        <v>601</v>
      </c>
      <c r="B603" s="2" t="inlineStr">
        <is>
          <t>85:01.0</t>
        </is>
      </c>
      <c r="C603" s="3" t="inlineStr">
        <is>
          <t>((웃음))</t>
        </is>
      </c>
      <c r="D603" s="3" t="inlineStr">
        <is>
          <t>소리·감탄</t>
        </is>
      </c>
      <c r="E603" s="2" t="inlineStr"/>
      <c r="F603" s="2" t="inlineStr"/>
      <c r="G603" s="2" t="inlineStr"/>
      <c r="H603" s="3" t="inlineStr">
        <is>
          <t>（デンジ）うおっ！ / （ビーム）ガッ！ / チェンソーさまぁぁぁ…</t>
        </is>
      </c>
      <c r="I603" s="4" t="n"/>
      <c r="J603" s="4" t="n"/>
      <c r="K603" s="4" t="n"/>
    </row>
    <row r="604">
      <c r="A604" s="2" t="n">
        <v>602</v>
      </c>
      <c r="B604" s="2" t="inlineStr">
        <is>
          <t>85:07.0</t>
        </is>
      </c>
      <c r="C604" s="3" t="inlineStr">
        <is>
          <t>어, はやい.</t>
        </is>
      </c>
      <c r="D604" s="3" t="inlineStr">
        <is>
          <t>반응·혼잣말</t>
        </is>
      </c>
      <c r="E604" s="2" t="inlineStr"/>
      <c r="F604" s="2" t="inlineStr"/>
      <c r="G604" s="2" t="inlineStr"/>
      <c r="H604" s="3" t="inlineStr">
        <is>
          <t>（デンジ）うおっ！ / （ビーム）ガッ！ / チェンソーさまぁぁぁ…</t>
        </is>
      </c>
      <c r="I604" s="4" t="n"/>
      <c r="J604" s="4" t="n"/>
      <c r="K604" s="4" t="n"/>
    </row>
    <row r="605">
      <c r="A605" s="2" t="n">
        <v>603</v>
      </c>
      <c r="B605" s="2" t="inlineStr">
        <is>
          <t>86:25.0</t>
        </is>
      </c>
      <c r="C605" s="2" t="inlineStr">
        <is>
          <t>おしまいかな, 끝인가?</t>
        </is>
      </c>
      <c r="D605" s="5" t="inlineStr">
        <is>
          <t>따라함</t>
        </is>
      </c>
      <c r="E605" s="5" t="inlineStr">
        <is>
          <t>おしまいかな</t>
        </is>
      </c>
      <c r="F605" s="5" t="inlineStr">
        <is>
          <t>맞음</t>
        </is>
      </c>
      <c r="G605" s="5" t="inlineStr">
        <is>
          <t>따라 하고 옮김</t>
        </is>
      </c>
      <c r="H605" s="3" t="inlineStr">
        <is>
          <t>（レゼ）ずいぶん粘ったけど / そろそろ / おしまいかな</t>
        </is>
      </c>
      <c r="I605" s="4" t="n"/>
      <c r="J605" s="4" t="n"/>
      <c r="K605" s="4" t="n"/>
    </row>
    <row r="606">
      <c r="A606" s="2" t="n">
        <v>604</v>
      </c>
      <c r="B606" s="2" t="inlineStr">
        <is>
          <t>86:31.0</t>
        </is>
      </c>
      <c r="C606" s="3" t="inlineStr">
        <is>
          <t>너무 시간 많이 끄는데.</t>
        </is>
      </c>
      <c r="D606" s="3" t="inlineStr">
        <is>
          <t>반응·혼잣말</t>
        </is>
      </c>
      <c r="E606" s="2" t="inlineStr"/>
      <c r="F606" s="2" t="inlineStr"/>
      <c r="G606" s="2" t="inlineStr"/>
      <c r="H606" s="3" t="inlineStr">
        <is>
          <t>（レゼ）ずいぶん粘ったけど / そろそろ / おしまいかな</t>
        </is>
      </c>
      <c r="I606" s="4" t="n"/>
      <c r="J606" s="4" t="n"/>
      <c r="K606" s="4" t="n"/>
    </row>
    <row r="607">
      <c r="A607" s="2" t="n">
        <v>605</v>
      </c>
      <c r="B607" s="2" t="inlineStr">
        <is>
          <t>87:12.5</t>
        </is>
      </c>
      <c r="C607" s="2" t="inlineStr">
        <is>
          <t>아 얘부터 처리한다는 거구나.</t>
        </is>
      </c>
      <c r="D607" s="5" t="inlineStr">
        <is>
          <t>옮김</t>
        </is>
      </c>
      <c r="E607" s="5" t="inlineStr">
        <is>
          <t>ビーム！　先に あのデカブツ黙らすぞ！</t>
        </is>
      </c>
      <c r="F607" s="5" t="inlineStr">
        <is>
          <t>맞음</t>
        </is>
      </c>
      <c r="G607" s="5" t="inlineStr"/>
      <c r="H607" s="3" t="inlineStr">
        <is>
          <t>このままじゃ 街ごとおミンチだぜ!! / ビーム！　先に あのデカブツ黙らすぞ！ / （ビーム）ハァイ！</t>
        </is>
      </c>
      <c r="I607" s="4" t="n"/>
      <c r="J607" s="4" t="n"/>
      <c r="K607" s="4" t="n"/>
    </row>
    <row r="608">
      <c r="A608" s="2" t="n">
        <v>606</v>
      </c>
      <c r="B608" s="2" t="inlineStr">
        <is>
          <t>88:10.5</t>
        </is>
      </c>
      <c r="C608" s="3" t="inlineStr">
        <is>
          <t>음.</t>
        </is>
      </c>
      <c r="D608" s="3" t="inlineStr">
        <is>
          <t>소리·감탄</t>
        </is>
      </c>
      <c r="E608" s="2" t="inlineStr"/>
      <c r="F608" s="2" t="inlineStr"/>
      <c r="G608" s="2" t="inlineStr"/>
      <c r="H608" s="3" t="inlineStr">
        <is>
          <t>（デンジ）オオラアアッ！ / ギャアアアアアアアア / 俺ぁラクでい～ぜ～!!</t>
        </is>
      </c>
      <c r="I608" s="4" t="n"/>
      <c r="J608" s="4" t="n"/>
      <c r="K608" s="4" t="n"/>
    </row>
    <row r="609">
      <c r="A609" s="2" t="n">
        <v>607</v>
      </c>
      <c r="B609" s="2" t="inlineStr">
        <is>
          <t>88:35.0</t>
        </is>
      </c>
      <c r="C609" s="3" t="inlineStr">
        <is>
          <t>든든하네.</t>
        </is>
      </c>
      <c r="D609" s="3" t="inlineStr">
        <is>
          <t>반응·혼잣말</t>
        </is>
      </c>
      <c r="E609" s="2" t="inlineStr"/>
      <c r="F609" s="2" t="inlineStr"/>
      <c r="G609" s="2" t="inlineStr"/>
      <c r="H609" s="3" t="inlineStr">
        <is>
          <t>（ビーム）チェンソーさまあああ!! / （デンジ）フンッ！ / ゲヘヘ!!　フヘヘヘ！</t>
        </is>
      </c>
      <c r="I609" s="4" t="n"/>
      <c r="J609" s="4" t="n"/>
      <c r="K609" s="4" t="n"/>
    </row>
    <row r="610">
      <c r="A610" s="2" t="n">
        <v>608</v>
      </c>
      <c r="B610" s="2" t="inlineStr">
        <is>
          <t>89:04.0</t>
        </is>
      </c>
      <c r="C610" s="3" t="inlineStr">
        <is>
          <t>어...</t>
        </is>
      </c>
      <c r="D610" s="3" t="inlineStr">
        <is>
          <t>소리·감탄</t>
        </is>
      </c>
      <c r="E610" s="2" t="inlineStr"/>
      <c r="F610" s="2" t="inlineStr"/>
      <c r="G610" s="2" t="inlineStr"/>
      <c r="H610" s="3" t="inlineStr">
        <is>
          <t>（デンジ）うおおおおおお!! / オラアアッ!! / うおおおおおお!!</t>
        </is>
      </c>
      <c r="I610" s="4" t="n"/>
      <c r="J610" s="4" t="n"/>
      <c r="K610" s="4" t="n"/>
    </row>
    <row r="611">
      <c r="A611" s="2" t="n">
        <v>609</v>
      </c>
      <c r="B611" s="2" t="inlineStr">
        <is>
          <t>89:28.0</t>
        </is>
      </c>
      <c r="C611" s="3" t="inlineStr">
        <is>
          <t>지저분한데?</t>
        </is>
      </c>
      <c r="D611" s="3" t="inlineStr">
        <is>
          <t>반응·혼잣말</t>
        </is>
      </c>
      <c r="E611" s="2" t="inlineStr"/>
      <c r="F611" s="2" t="inlineStr"/>
      <c r="G611" s="2" t="inlineStr"/>
      <c r="H611" s="3" t="inlineStr">
        <is>
          <t>うおおおおおお!!</t>
        </is>
      </c>
      <c r="I611" s="4" t="n"/>
      <c r="J611" s="4" t="n"/>
      <c r="K611" s="4" t="n"/>
    </row>
    <row r="612">
      <c r="A612" s="2" t="n">
        <v>610</v>
      </c>
      <c r="B612" s="2" t="inlineStr">
        <is>
          <t>89:51.0</t>
        </is>
      </c>
      <c r="C612" s="3" t="inlineStr">
        <is>
          <t>와우.</t>
        </is>
      </c>
      <c r="D612" s="3" t="inlineStr">
        <is>
          <t>반응·혼잣말</t>
        </is>
      </c>
      <c r="E612" s="2" t="inlineStr"/>
      <c r="F612" s="2" t="inlineStr"/>
      <c r="G612" s="2" t="inlineStr"/>
      <c r="H612" s="3" t="inlineStr">
        <is>
          <t>ッしゃあ!!　ビーム!! / レゼはどこだ!? / （ビーム）あ!? チェンソー様!!</t>
        </is>
      </c>
      <c r="I612" s="4" t="n"/>
      <c r="J612" s="4" t="n"/>
      <c r="K612" s="4" t="n"/>
    </row>
    <row r="613">
      <c r="A613" s="2" t="n">
        <v>611</v>
      </c>
      <c r="B613" s="2" t="inlineStr">
        <is>
          <t>90:14.0</t>
        </is>
      </c>
      <c r="C613" s="3" t="inlineStr">
        <is>
          <t>야, 저거 어떻게 이기냐.</t>
        </is>
      </c>
      <c r="D613" s="3" t="inlineStr">
        <is>
          <t>반응·혼잣말</t>
        </is>
      </c>
      <c r="E613" s="2" t="inlineStr"/>
      <c r="F613" s="2" t="inlineStr"/>
      <c r="G613" s="2" t="inlineStr"/>
      <c r="H613" s="3" t="inlineStr">
        <is>
          <t>（デンジ）な!? / あァ!?</t>
        </is>
      </c>
      <c r="I613" s="4" t="n"/>
      <c r="J613" s="4" t="n"/>
      <c r="K613" s="4" t="n"/>
    </row>
    <row r="614">
      <c r="A614" s="2" t="n">
        <v>612</v>
      </c>
      <c r="B614" s="2" t="inlineStr">
        <is>
          <t>90:49.0</t>
        </is>
      </c>
      <c r="C614" s="3" t="inlineStr">
        <is>
          <t>어?</t>
        </is>
      </c>
      <c r="D614" s="3" t="inlineStr">
        <is>
          <t>소리·감탄</t>
        </is>
      </c>
      <c r="E614" s="2" t="inlineStr"/>
      <c r="F614" s="2" t="inlineStr"/>
      <c r="G614" s="2" t="inlineStr"/>
      <c r="H614" s="3" t="inlineStr">
        <is>
          <t>うおおおおっ!! / （レゼ）うっ！ / （デンジ）うおおおっ!!</t>
        </is>
      </c>
      <c r="I614" s="4" t="n"/>
      <c r="J614" s="4" t="n"/>
      <c r="K614" s="4" t="n"/>
    </row>
    <row r="615">
      <c r="A615" s="2" t="n">
        <v>613</v>
      </c>
      <c r="B615" s="2" t="inlineStr">
        <is>
          <t>90:50.2</t>
        </is>
      </c>
      <c r="C615" s="3" t="inlineStr">
        <is>
          <t>(웃음)</t>
        </is>
      </c>
      <c r="D615" s="3" t="inlineStr">
        <is>
          <t>소리·감탄</t>
        </is>
      </c>
      <c r="E615" s="2" t="inlineStr"/>
      <c r="F615" s="2" t="inlineStr"/>
      <c r="G615" s="2" t="inlineStr"/>
      <c r="H615" s="3" t="inlineStr">
        <is>
          <t>うおおおおっ!! / （レゼ）うっ！ / （デンジ）うおおおっ!!</t>
        </is>
      </c>
      <c r="I615" s="4" t="n"/>
      <c r="J615" s="4" t="n"/>
      <c r="K615" s="4" t="n"/>
    </row>
    <row r="616">
      <c r="A616" s="2" t="n">
        <v>614</v>
      </c>
      <c r="B616" s="2" t="inlineStr">
        <is>
          <t>90:52.4</t>
        </is>
      </c>
      <c r="C616" s="3" t="inlineStr">
        <is>
          <t>(웃음)</t>
        </is>
      </c>
      <c r="D616" s="3" t="inlineStr">
        <is>
          <t>소리·감탄</t>
        </is>
      </c>
      <c r="E616" s="2" t="inlineStr"/>
      <c r="F616" s="2" t="inlineStr"/>
      <c r="G616" s="2" t="inlineStr"/>
      <c r="H616" s="3" t="inlineStr">
        <is>
          <t>（デンジ）うおおおっ!! / （ビーム）グオッ！　ギャッ!! / グオッ！　グオオッ</t>
        </is>
      </c>
      <c r="I616" s="4" t="n"/>
      <c r="J616" s="4" t="n"/>
      <c r="K616" s="4" t="n"/>
    </row>
    <row r="617">
      <c r="A617" s="2" t="n">
        <v>615</v>
      </c>
      <c r="B617" s="2" t="inlineStr">
        <is>
          <t>90:55.4</t>
        </is>
      </c>
      <c r="C617" s="3" t="inlineStr">
        <is>
          <t>아니 얘한테는 치명타일 건데.</t>
        </is>
      </c>
      <c r="D617" s="3" t="inlineStr">
        <is>
          <t>반응·혼잣말</t>
        </is>
      </c>
      <c r="E617" s="2" t="inlineStr"/>
      <c r="F617" s="2" t="inlineStr"/>
      <c r="G617" s="2" t="inlineStr"/>
      <c r="H617" s="3" t="inlineStr">
        <is>
          <t>（ビーム）グオッ！　ギャッ!! / グオッ！　グオオッ / ギャッ!!</t>
        </is>
      </c>
      <c r="I617" s="4" t="n"/>
      <c r="J617" s="4" t="n"/>
      <c r="K617" s="4" t="n"/>
    </row>
    <row r="618">
      <c r="A618" s="2" t="n">
        <v>616</v>
      </c>
      <c r="B618" s="2" t="inlineStr">
        <is>
          <t>90:58.6</t>
        </is>
      </c>
      <c r="C618" s="3" t="inlineStr">
        <is>
          <t>어유.</t>
        </is>
      </c>
      <c r="D618" s="3" t="inlineStr">
        <is>
          <t>반응·혼잣말</t>
        </is>
      </c>
      <c r="E618" s="2" t="inlineStr"/>
      <c r="F618" s="2" t="inlineStr"/>
      <c r="G618" s="2" t="inlineStr"/>
      <c r="H618" s="3" t="inlineStr">
        <is>
          <t>（ビーム）グオッ！　ギャッ!! / グオッ！　グオオッ / ギャッ!!</t>
        </is>
      </c>
      <c r="I618" s="4" t="n"/>
      <c r="J618" s="4" t="n"/>
      <c r="K618" s="4" t="n"/>
    </row>
    <row r="619">
      <c r="A619" s="2" t="n">
        <v>617</v>
      </c>
      <c r="B619" s="2" t="inlineStr">
        <is>
          <t>91:07.2</t>
        </is>
      </c>
      <c r="C619" s="3" t="inlineStr">
        <is>
          <t>어유, 씨...</t>
        </is>
      </c>
      <c r="D619" s="3" t="inlineStr">
        <is>
          <t>반응·혼잣말</t>
        </is>
      </c>
      <c r="E619" s="2" t="inlineStr"/>
      <c r="F619" s="2" t="inlineStr"/>
      <c r="G619" s="2" t="inlineStr"/>
      <c r="H619" s="3" t="inlineStr">
        <is>
          <t>（ビーム）グオッ！　ギャッ!! / グオッ！　グオオッ / ギャッ!!</t>
        </is>
      </c>
      <c r="I619" s="4" t="n"/>
      <c r="J619" s="4" t="n"/>
      <c r="K619" s="4" t="n"/>
    </row>
    <row r="620">
      <c r="A620" s="2" t="n">
        <v>618</v>
      </c>
      <c r="B620" s="2" t="inlineStr">
        <is>
          <t>91:18.3</t>
        </is>
      </c>
      <c r="C620" s="3" t="inlineStr">
        <is>
          <t>아, 야 이거는 좀...</t>
        </is>
      </c>
      <c r="D620" s="3" t="inlineStr">
        <is>
          <t>반응·혼잣말</t>
        </is>
      </c>
      <c r="E620" s="2" t="inlineStr"/>
      <c r="F620" s="2" t="inlineStr"/>
      <c r="G620" s="2" t="inlineStr"/>
      <c r="H620" s="3" t="inlineStr">
        <is>
          <t>（ビーム）グオッ！　ギャッ!! / グオッ！　グオオッ / ギャッ!!</t>
        </is>
      </c>
      <c r="I620" s="4" t="n"/>
      <c r="J620" s="4" t="n"/>
      <c r="K620" s="4" t="n"/>
    </row>
    <row r="621">
      <c r="A621" s="2" t="n">
        <v>619</v>
      </c>
      <c r="B621" s="2" t="inlineStr">
        <is>
          <t>91:23.0</t>
        </is>
      </c>
      <c r="C621" s="3" t="inlineStr">
        <is>
          <t>안 죽는 게 다행이겠는데?</t>
        </is>
      </c>
      <c r="D621" s="3" t="inlineStr">
        <is>
          <t>반응·혼잣말</t>
        </is>
      </c>
      <c r="E621" s="2" t="inlineStr"/>
      <c r="F621" s="2" t="inlineStr"/>
      <c r="G621" s="2" t="inlineStr"/>
      <c r="H621" s="3" t="inlineStr">
        <is>
          <t>ギャッ!! / （デンジ）ぷはっ！ / ふぬ！</t>
        </is>
      </c>
      <c r="I621" s="4" t="n"/>
      <c r="J621" s="4" t="n"/>
      <c r="K621" s="4" t="n"/>
    </row>
    <row r="622">
      <c r="A622" s="2" t="n">
        <v>620</v>
      </c>
      <c r="B622" s="2" t="inlineStr">
        <is>
          <t>91:30.8</t>
        </is>
      </c>
      <c r="C622" s="3" t="inlineStr">
        <is>
          <t>쟤는 죽어... 야 쟤는 죽어가잖아.</t>
        </is>
      </c>
      <c r="D622" s="3" t="inlineStr">
        <is>
          <t>반응·혼잣말</t>
        </is>
      </c>
      <c r="E622" s="2" t="inlineStr"/>
      <c r="F622" s="2" t="inlineStr"/>
      <c r="G622" s="2" t="inlineStr"/>
      <c r="H622" s="3" t="inlineStr">
        <is>
          <t>助かったぜ ビーム… / （ビーム）くぉ… きゃ… き… / （レゼ）デンジく～ん そろそろ あきらめない？</t>
        </is>
      </c>
      <c r="I622" s="4" t="n"/>
      <c r="J622" s="4" t="n"/>
      <c r="K622" s="4" t="n"/>
    </row>
    <row r="623">
      <c r="A623" s="2" t="n">
        <v>621</v>
      </c>
      <c r="B623" s="2" t="inlineStr">
        <is>
          <t>91:36.5</t>
        </is>
      </c>
      <c r="C623" s="2" t="inlineStr">
        <is>
          <t>어 포기 안 하냐</t>
        </is>
      </c>
      <c r="D623" s="7" t="inlineStr">
        <is>
          <t>옮김</t>
        </is>
      </c>
      <c r="E623" s="7" t="inlineStr">
        <is>
          <t>（レゼ）デンジく～ん そろそろ あきらめない？</t>
        </is>
      </c>
      <c r="F623" s="7" t="inlineStr">
        <is>
          <t>대체로 맞음</t>
        </is>
      </c>
      <c r="G623" s="7" t="inlineStr"/>
      <c r="H623" s="3" t="inlineStr">
        <is>
          <t>（レゼ）デンジく～ん そろそろ あきらめない？ / （デンジ）ん～ / やだ</t>
        </is>
      </c>
      <c r="I623" s="4" t="n"/>
      <c r="J623" s="4" t="n"/>
      <c r="K623" s="4" t="n"/>
    </row>
    <row r="624">
      <c r="A624" s="2" t="n">
        <v>622</v>
      </c>
      <c r="B624" s="2" t="inlineStr">
        <is>
          <t>91:40.0</t>
        </is>
      </c>
      <c r="C624" s="2" t="inlineStr">
        <is>
          <t>やだ</t>
        </is>
      </c>
      <c r="D624" s="5" t="inlineStr">
        <is>
          <t>따라함</t>
        </is>
      </c>
      <c r="E624" s="5" t="inlineStr">
        <is>
          <t>やだ</t>
        </is>
      </c>
      <c r="F624" s="5" t="inlineStr">
        <is>
          <t>맞음</t>
        </is>
      </c>
      <c r="G624" s="5" t="inlineStr"/>
      <c r="H624" s="3" t="inlineStr">
        <is>
          <t>（レゼ）デンジく～ん そろそろ あきらめない？ / （デンジ）ん～ / やだ</t>
        </is>
      </c>
      <c r="I624" s="4" t="n"/>
      <c r="J624" s="4" t="n"/>
      <c r="K624" s="4" t="n"/>
    </row>
    <row r="625">
      <c r="A625" s="2" t="n">
        <v>623</v>
      </c>
      <c r="B625" s="2" t="inlineStr">
        <is>
          <t>92:10.6</t>
        </is>
      </c>
      <c r="C625" s="2" t="inlineStr">
        <is>
          <t>음 처음에 만났을 때 그냥 죽였 죽였어야지</t>
        </is>
      </c>
      <c r="D625" s="5" t="inlineStr">
        <is>
          <t>옮김</t>
        </is>
      </c>
      <c r="E625" s="5" t="inlineStr">
        <is>
          <t>初めて会った時に さっさと 殺しとくんだったな…！</t>
        </is>
      </c>
      <c r="F625" s="5" t="inlineStr">
        <is>
          <t>맞음</t>
        </is>
      </c>
      <c r="G625" s="5" t="inlineStr"/>
      <c r="H625" s="3" t="inlineStr">
        <is>
          <t>さっさと死んでくれないかな？ / （デンジ）だったら / 初めて会った時に さっさと 殺しとくんだったな…！</t>
        </is>
      </c>
      <c r="I625" s="4" t="n"/>
      <c r="J625" s="4" t="n"/>
      <c r="K625" s="4" t="n"/>
    </row>
    <row r="626">
      <c r="A626" s="2" t="n">
        <v>624</v>
      </c>
      <c r="B626" s="2" t="inlineStr">
        <is>
          <t>92:17.4</t>
        </is>
      </c>
      <c r="C626" s="3" t="inlineStr">
        <is>
          <t>음</t>
        </is>
      </c>
      <c r="D626" s="3" t="inlineStr">
        <is>
          <t>소리·감탄</t>
        </is>
      </c>
      <c r="E626" s="2" t="inlineStr"/>
      <c r="F626" s="2" t="inlineStr"/>
      <c r="G626" s="2" t="inlineStr"/>
      <c r="H626" s="3" t="inlineStr">
        <is>
          <t>（デンジ）だったら / 初めて会った時に さっさと 殺しとくんだったな…！ / もう逃げ道はないよ</t>
        </is>
      </c>
      <c r="I626" s="4" t="n"/>
      <c r="J626" s="4" t="n"/>
      <c r="K626" s="4" t="n"/>
    </row>
    <row r="627">
      <c r="A627" s="2" t="n">
        <v>625</v>
      </c>
      <c r="B627" s="2" t="inlineStr">
        <is>
          <t>92:20.0</t>
        </is>
      </c>
      <c r="C627" s="2" t="inlineStr">
        <is>
          <t>더 이상 도망갈 길은 없다</t>
        </is>
      </c>
      <c r="D627" s="5" t="inlineStr">
        <is>
          <t>옮김</t>
        </is>
      </c>
      <c r="E627" s="5" t="inlineStr">
        <is>
          <t>もう逃げ道はないよ</t>
        </is>
      </c>
      <c r="F627" s="5" t="inlineStr">
        <is>
          <t>맞음</t>
        </is>
      </c>
      <c r="G627" s="5" t="inlineStr"/>
      <c r="H627" s="3" t="inlineStr">
        <is>
          <t>初めて会った時に さっさと 殺しとくんだったな…！ / もう逃げ道はないよ / ど～かな</t>
        </is>
      </c>
      <c r="I627" s="4" t="n"/>
      <c r="J627" s="4" t="n"/>
      <c r="K627" s="4" t="n"/>
    </row>
    <row r="628">
      <c r="A628" s="2" t="n">
        <v>626</v>
      </c>
      <c r="B628" s="2" t="inlineStr">
        <is>
          <t>92:23.0</t>
        </is>
      </c>
      <c r="C628" s="3" t="inlineStr">
        <is>
          <t>음</t>
        </is>
      </c>
      <c r="D628" s="3" t="inlineStr">
        <is>
          <t>소리·감탄</t>
        </is>
      </c>
      <c r="E628" s="2" t="inlineStr"/>
      <c r="F628" s="2" t="inlineStr"/>
      <c r="G628" s="2" t="inlineStr"/>
      <c r="H628" s="3" t="inlineStr">
        <is>
          <t>もう逃げ道はないよ / ど～かな / 俺に泳ぎ方を教えたのは 間違いだったな～</t>
        </is>
      </c>
      <c r="I628" s="4" t="n"/>
      <c r="J628" s="4" t="n"/>
      <c r="K628" s="4" t="n"/>
    </row>
    <row r="629">
      <c r="A629" s="2" t="n">
        <v>627</v>
      </c>
      <c r="B629" s="2" t="inlineStr">
        <is>
          <t>92:27.0</t>
        </is>
      </c>
      <c r="C629" s="2" t="inlineStr">
        <is>
          <t>아 수영</t>
        </is>
      </c>
      <c r="D629" s="7" t="inlineStr">
        <is>
          <t>추측</t>
        </is>
      </c>
      <c r="E629" s="7" t="inlineStr">
        <is>
          <t>俺に泳ぎ方を教えたのは 間違いだったな～</t>
        </is>
      </c>
      <c r="F629" s="7" t="inlineStr">
        <is>
          <t>대체로 맞음</t>
        </is>
      </c>
      <c r="G629" s="7" t="inlineStr">
        <is>
          <t>泳ぎ만 잡음</t>
        </is>
      </c>
      <c r="H629" s="3" t="inlineStr">
        <is>
          <t>ど～かな / 俺に泳ぎ方を教えたのは 間違いだったな～ / （レゼ）え～ 泳ぐの～？</t>
        </is>
      </c>
      <c r="I629" s="4" t="n"/>
      <c r="J629" s="4" t="n"/>
      <c r="K629" s="4" t="n"/>
    </row>
    <row r="630">
      <c r="A630" s="2" t="n">
        <v>628</v>
      </c>
      <c r="B630" s="2" t="inlineStr">
        <is>
          <t>93:00.0</t>
        </is>
      </c>
      <c r="C630" s="3" t="inlineStr">
        <is>
          <t>어</t>
        </is>
      </c>
      <c r="D630" s="3" t="inlineStr">
        <is>
          <t>소리·감탄</t>
        </is>
      </c>
      <c r="E630" s="2" t="inlineStr"/>
      <c r="F630" s="2" t="inlineStr"/>
      <c r="G630" s="2" t="inlineStr"/>
      <c r="H630" s="3" t="inlineStr">
        <is>
          <t>フンッ！ / オラアアッ！ / （レゼ）チェーン？</t>
        </is>
      </c>
      <c r="I630" s="4" t="n"/>
      <c r="J630" s="4" t="n"/>
      <c r="K630" s="4" t="n"/>
    </row>
    <row r="631">
      <c r="A631" s="2" t="n">
        <v>629</v>
      </c>
      <c r="B631" s="2" t="inlineStr">
        <is>
          <t>93:02.0</t>
        </is>
      </c>
      <c r="C631" s="3" t="inlineStr">
        <is>
          <t>원거리</t>
        </is>
      </c>
      <c r="D631" s="3" t="inlineStr">
        <is>
          <t>반응·혼잣말</t>
        </is>
      </c>
      <c r="E631" s="2" t="inlineStr"/>
      <c r="F631" s="2" t="inlineStr"/>
      <c r="G631" s="2" t="inlineStr"/>
      <c r="H631" s="3" t="inlineStr">
        <is>
          <t>オラアアッ！ / （レゼ）チェーン？ / フンッ！</t>
        </is>
      </c>
      <c r="I631" s="4" t="n"/>
      <c r="J631" s="4" t="n"/>
      <c r="K631" s="4" t="n"/>
    </row>
    <row r="632">
      <c r="A632" s="2" t="n">
        <v>630</v>
      </c>
      <c r="B632" s="2" t="inlineStr">
        <is>
          <t>93:17.0</t>
        </is>
      </c>
      <c r="C632" s="3" t="inlineStr">
        <is>
          <t>오</t>
        </is>
      </c>
      <c r="D632" s="3" t="inlineStr">
        <is>
          <t>소리·감탄</t>
        </is>
      </c>
      <c r="E632" s="2" t="inlineStr"/>
      <c r="F632" s="2" t="inlineStr"/>
      <c r="G632" s="2" t="inlineStr"/>
      <c r="H632" s="3" t="inlineStr">
        <is>
          <t>グハッ！ / （レゼ）はっ / なっ!?</t>
        </is>
      </c>
      <c r="I632" s="4" t="n"/>
      <c r="J632" s="4" t="n"/>
      <c r="K632" s="4" t="n"/>
    </row>
    <row r="633">
      <c r="A633" s="2" t="n">
        <v>631</v>
      </c>
      <c r="B633" s="2" t="inlineStr">
        <is>
          <t>93:25.9</t>
        </is>
      </c>
      <c r="C633" s="2" t="inlineStr">
        <is>
          <t>아 같이 있으면 폭발할 수 있냐고</t>
        </is>
      </c>
      <c r="D633" s="10" t="inlineStr">
        <is>
          <t>옮김</t>
        </is>
      </c>
      <c r="E633" s="10" t="inlineStr">
        <is>
          <t>シケてても 爆発できるのかア～？</t>
        </is>
      </c>
      <c r="F633" s="10" t="inlineStr">
        <is>
          <t>조금 맞음</t>
        </is>
      </c>
      <c r="G633" s="10" t="inlineStr">
        <is>
          <t>シケて(젖어도)를 못 잡음</t>
        </is>
      </c>
      <c r="H633" s="3" t="inlineStr">
        <is>
          <t>（レゼ）はっ / なっ!? / シケてても 爆発できるのかア～？</t>
        </is>
      </c>
      <c r="I633" s="4" t="n"/>
      <c r="J633" s="4" t="n"/>
      <c r="K633" s="4" t="n"/>
    </row>
    <row r="634">
      <c r="A634" s="2" t="n">
        <v>632</v>
      </c>
      <c r="B634" s="2" t="inlineStr">
        <is>
          <t>93:29.0</t>
        </is>
      </c>
      <c r="C634" s="3" t="inlineStr">
        <is>
          <t>어</t>
        </is>
      </c>
      <c r="D634" s="3" t="inlineStr">
        <is>
          <t>소리·감탄</t>
        </is>
      </c>
      <c r="E634" s="2" t="inlineStr"/>
      <c r="F634" s="2" t="inlineStr"/>
      <c r="G634" s="2" t="inlineStr"/>
      <c r="H634" s="3" t="inlineStr">
        <is>
          <t>（レゼ）はっ / なっ!? / シケてても 爆発できるのかア～？</t>
        </is>
      </c>
      <c r="I634" s="4" t="n"/>
      <c r="J634" s="4" t="n"/>
      <c r="K634" s="4" t="n"/>
    </row>
    <row r="635">
      <c r="A635" s="2" t="n">
        <v>633</v>
      </c>
      <c r="B635" s="2" t="inlineStr">
        <is>
          <t>93:41.0</t>
        </is>
      </c>
      <c r="C635" s="3" t="inlineStr">
        <is>
          <t>아 이때 좋았지</t>
        </is>
      </c>
      <c r="D635" s="3" t="inlineStr">
        <is>
          <t>반응·혼잣말</t>
        </is>
      </c>
      <c r="E635" s="2" t="inlineStr"/>
      <c r="F635" s="2" t="inlineStr"/>
      <c r="G635" s="2" t="inlineStr"/>
      <c r="H635" s="3" t="inlineStr">
        <is>
          <t>（レゼ）はっ / なっ!? / シケてても 爆発できるのかア～？</t>
        </is>
      </c>
      <c r="I635" s="4" t="n"/>
      <c r="J635" s="4" t="n"/>
      <c r="K635" s="4" t="n"/>
    </row>
    <row r="636">
      <c r="A636" s="2" t="n">
        <v>634</v>
      </c>
      <c r="B636" s="2" t="inlineStr">
        <is>
          <t>93:52.0</t>
        </is>
      </c>
      <c r="C636" s="3" t="inlineStr">
        <is>
          <t>야 이거를 이렇게 쓰네</t>
        </is>
      </c>
      <c r="D636" s="3" t="inlineStr">
        <is>
          <t>반응·혼잣말</t>
        </is>
      </c>
      <c r="E636" s="2" t="inlineStr"/>
      <c r="F636" s="2" t="inlineStr"/>
      <c r="G636" s="2" t="inlineStr"/>
      <c r="H636" s="3" t="inlineStr">
        <is>
          <t>シケてても 爆発できるのかア～？</t>
        </is>
      </c>
      <c r="I636" s="4" t="n"/>
      <c r="J636" s="4" t="n"/>
      <c r="K636" s="4" t="n"/>
    </row>
    <row r="637">
      <c r="A637" s="2" t="n">
        <v>635</v>
      </c>
      <c r="B637" s="2" t="inlineStr">
        <is>
          <t>94:23.5</t>
        </is>
      </c>
      <c r="C637" s="3" t="inlineStr">
        <is>
          <t>아 이게 이제 체인의 응용방법인가</t>
        </is>
      </c>
      <c r="D637" s="3" t="inlineStr">
        <is>
          <t>반응·혼잣말</t>
        </is>
      </c>
      <c r="E637" s="2" t="inlineStr"/>
      <c r="F637" s="2" t="inlineStr"/>
      <c r="G637" s="2" t="inlineStr"/>
      <c r="H637" s="3" t="inlineStr"/>
      <c r="I637" s="4" t="n"/>
      <c r="J637" s="4" t="n"/>
      <c r="K637" s="4" t="n"/>
    </row>
    <row r="638">
      <c r="A638" s="2" t="n">
        <v>636</v>
      </c>
      <c r="B638" s="2" t="inlineStr">
        <is>
          <t>94:28.0</t>
        </is>
      </c>
      <c r="C638" s="3" t="inlineStr">
        <is>
          <t>아 근데 생각보다 좀</t>
        </is>
      </c>
      <c r="D638" s="3" t="inlineStr">
        <is>
          <t>반응·혼잣말</t>
        </is>
      </c>
      <c r="E638" s="2" t="inlineStr"/>
      <c r="F638" s="2" t="inlineStr"/>
      <c r="G638" s="2" t="inlineStr"/>
      <c r="H638" s="3" t="inlineStr"/>
      <c r="I638" s="4" t="n"/>
      <c r="J638" s="4" t="n"/>
      <c r="K638" s="4" t="n"/>
    </row>
    <row r="639">
      <c r="A639" s="2" t="n">
        <v>637</v>
      </c>
      <c r="B639" s="2" t="inlineStr">
        <is>
          <t>94:57.0</t>
        </is>
      </c>
      <c r="C639" s="3" t="inlineStr">
        <is>
          <t>아 빔이 살려줬구나</t>
        </is>
      </c>
      <c r="D639" s="3" t="inlineStr">
        <is>
          <t>반응·혼잣말</t>
        </is>
      </c>
      <c r="E639" s="2" t="inlineStr"/>
      <c r="F639" s="2" t="inlineStr"/>
      <c r="G639" s="2" t="inlineStr"/>
      <c r="H639" s="3" t="inlineStr"/>
      <c r="I639" s="4" t="n"/>
      <c r="J639" s="4" t="n"/>
      <c r="K639" s="4" t="n"/>
    </row>
    <row r="640">
      <c r="A640" s="2" t="n">
        <v>638</v>
      </c>
      <c r="B640" s="2" t="inlineStr">
        <is>
          <t>95:11.0</t>
        </is>
      </c>
      <c r="C640" s="3" t="inlineStr">
        <is>
          <t>왜 안 죽이고</t>
        </is>
      </c>
      <c r="D640" s="3" t="inlineStr">
        <is>
          <t>반응·혼잣말</t>
        </is>
      </c>
      <c r="E640" s="2" t="inlineStr"/>
      <c r="F640" s="2" t="inlineStr"/>
      <c r="G640" s="2" t="inlineStr"/>
      <c r="H640" s="3" t="inlineStr">
        <is>
          <t>（レゼ）信じられない…</t>
        </is>
      </c>
      <c r="I640" s="4" t="n"/>
      <c r="J640" s="4" t="n"/>
      <c r="K640" s="4" t="n"/>
    </row>
    <row r="641">
      <c r="A641" s="2" t="n">
        <v>639</v>
      </c>
      <c r="B641" s="2" t="inlineStr">
        <is>
          <t>95:30.1</t>
        </is>
      </c>
      <c r="C641" s="2" t="inlineStr">
        <is>
          <t>음 뭔 뜻인지 모르겠어</t>
        </is>
      </c>
      <c r="D641" s="6" t="inlineStr">
        <is>
          <t>못알아들음</t>
        </is>
      </c>
      <c r="E641" s="6" t="inlineStr">
        <is>
          <t>次の日 ウマいモン食えりゃ / それで帳消しにできる</t>
        </is>
      </c>
      <c r="F641" s="6" t="inlineStr">
        <is>
          <t>못 알아들음</t>
        </is>
      </c>
      <c r="G641" s="6" t="inlineStr"/>
      <c r="H641" s="3" t="inlineStr">
        <is>
          <t>次の日 ウマいモン食えりゃ / それで帳消しにできる / でも…</t>
        </is>
      </c>
      <c r="I641" s="4" t="n"/>
      <c r="J641" s="4" t="n"/>
      <c r="K641" s="4" t="n"/>
    </row>
    <row r="642">
      <c r="A642" s="2" t="n">
        <v>640</v>
      </c>
      <c r="B642" s="2" t="inlineStr">
        <is>
          <t>95:41.0</t>
        </is>
      </c>
      <c r="C642" s="3" t="inlineStr">
        <is>
          <t>(숨소리)</t>
        </is>
      </c>
      <c r="D642" s="3" t="inlineStr">
        <is>
          <t>소리·감탄</t>
        </is>
      </c>
      <c r="E642" s="2" t="inlineStr"/>
      <c r="F642" s="2" t="inlineStr"/>
      <c r="G642" s="2" t="inlineStr"/>
      <c r="H642" s="3" t="inlineStr">
        <is>
          <t>でも… / ここでレゼを捕まえて 公安に引き渡したら / なんか… 魚の骨が ノドに突っかかる気がする</t>
        </is>
      </c>
      <c r="I642" s="4" t="n"/>
      <c r="J642" s="4" t="n"/>
      <c r="K642" s="4" t="n"/>
    </row>
    <row r="643">
      <c r="A643" s="2" t="n">
        <v>641</v>
      </c>
      <c r="B643" s="2" t="inlineStr">
        <is>
          <t>95:42.5</t>
        </is>
      </c>
      <c r="C643" s="2" t="inlineStr">
        <is>
          <t>'여기서 레제를 잡아서 공안에게 넘기면' 까지는 알아들었는데</t>
        </is>
      </c>
      <c r="D643" s="5" t="inlineStr">
        <is>
          <t>옮김</t>
        </is>
      </c>
      <c r="E643" s="5" t="inlineStr">
        <is>
          <t>ここでレゼを捕まえて 公安に引き渡したら</t>
        </is>
      </c>
      <c r="F643" s="5" t="inlineStr">
        <is>
          <t>맞음</t>
        </is>
      </c>
      <c r="G643" s="5" t="inlineStr">
        <is>
          <t>여기까지는 알아들었다고 함</t>
        </is>
      </c>
      <c r="H643" s="3" t="inlineStr">
        <is>
          <t>でも… / ここでレゼを捕まえて 公安に引き渡したら / なんか… 魚の骨が ノドに突っかかる気がする</t>
        </is>
      </c>
      <c r="I643" s="4" t="n"/>
      <c r="J643" s="4" t="n"/>
      <c r="K643" s="4" t="n"/>
    </row>
    <row r="644">
      <c r="A644" s="2" t="n">
        <v>642</v>
      </c>
      <c r="B644" s="2" t="inlineStr">
        <is>
          <t>95:47.0</t>
        </is>
      </c>
      <c r="C644" s="2" t="inlineStr">
        <is>
          <t>음 잘 모르겠고</t>
        </is>
      </c>
      <c r="D644" s="6" t="inlineStr">
        <is>
          <t>못알아들음</t>
        </is>
      </c>
      <c r="E644" s="6" t="inlineStr">
        <is>
          <t>なんか… 魚の骨が ノドに突っかかる気がする</t>
        </is>
      </c>
      <c r="F644" s="6" t="inlineStr">
        <is>
          <t>못 알아들음</t>
        </is>
      </c>
      <c r="G644" s="6" t="inlineStr"/>
      <c r="H644" s="3" t="inlineStr">
        <is>
          <t>でも… / ここでレゼを捕まえて 公安に引き渡したら / なんか… 魚の骨が ノドに突っかかる気がする</t>
        </is>
      </c>
      <c r="I644" s="4" t="n"/>
      <c r="J644" s="4" t="n"/>
      <c r="K644" s="4" t="n"/>
    </row>
    <row r="645">
      <c r="A645" s="2" t="n">
        <v>643</v>
      </c>
      <c r="B645" s="2" t="inlineStr">
        <is>
          <t>96:08.8</t>
        </is>
      </c>
      <c r="C645" s="2" t="inlineStr">
        <is>
          <t>지금 나한테 죽임을 당해도 똑같은 말을 할 거야?</t>
        </is>
      </c>
      <c r="D645" s="5" t="inlineStr">
        <is>
          <t>옮김</t>
        </is>
      </c>
      <c r="E645" s="5" t="inlineStr">
        <is>
          <t>（レゼ）今 私に殺されても 同じこと言える？</t>
        </is>
      </c>
      <c r="F645" s="5" t="inlineStr">
        <is>
          <t>맞음</t>
        </is>
      </c>
      <c r="G645" s="5" t="inlineStr"/>
      <c r="H645" s="3" t="inlineStr">
        <is>
          <t>素晴らしき日々を 送っていても / 時々ノドん奥が チクってなりゃあ最悪だ / （レゼ）今 私に殺されても 同じこと言える？</t>
        </is>
      </c>
      <c r="I645" s="4" t="n"/>
      <c r="J645" s="4" t="n"/>
      <c r="K645" s="4" t="n"/>
    </row>
    <row r="646">
      <c r="A646" s="2" t="n">
        <v>644</v>
      </c>
      <c r="B646" s="2" t="inlineStr">
        <is>
          <t>96:19.0</t>
        </is>
      </c>
      <c r="C646" s="2" t="inlineStr">
        <is>
          <t>음 죽임당할 거면 미녀한테</t>
        </is>
      </c>
      <c r="D646" s="5" t="inlineStr">
        <is>
          <t>옮김</t>
        </is>
      </c>
      <c r="E646" s="5" t="inlineStr">
        <is>
          <t>殺されるなら美人にってのが 俺の座右の銘</t>
        </is>
      </c>
      <c r="F646" s="5" t="inlineStr">
        <is>
          <t>맞음</t>
        </is>
      </c>
      <c r="G646" s="5" t="inlineStr"/>
      <c r="H646" s="3" t="inlineStr">
        <is>
          <t>（レゼ）今 私に殺されても 同じこと言える？ / （デンジ）ふっ / 殺されるなら美人にってのが 俺の座右の銘</t>
        </is>
      </c>
      <c r="I646" s="4" t="n"/>
      <c r="J646" s="4" t="n"/>
      <c r="K646" s="4" t="n"/>
    </row>
    <row r="647">
      <c r="A647" s="2" t="n">
        <v>645</v>
      </c>
      <c r="B647" s="2" t="inlineStr">
        <is>
          <t>96:24.0</t>
        </is>
      </c>
      <c r="C647" s="2" t="inlineStr">
        <is>
          <t>나의 좌우명이다</t>
        </is>
      </c>
      <c r="D647" s="5" t="inlineStr">
        <is>
          <t>옮김</t>
        </is>
      </c>
      <c r="E647" s="5" t="inlineStr">
        <is>
          <t>殺されるなら美人にってのが 俺の座右の銘</t>
        </is>
      </c>
      <c r="F647" s="5" t="inlineStr">
        <is>
          <t>맞음</t>
        </is>
      </c>
      <c r="G647" s="5" t="inlineStr">
        <is>
          <t>座右の銘 → 좌우명</t>
        </is>
      </c>
      <c r="H647" s="3" t="inlineStr">
        <is>
          <t>（レゼ）今 私に殺されても 同じこと言える？ / （デンジ）ふっ / 殺されるなら美人にってのが 俺の座右の銘</t>
        </is>
      </c>
      <c r="I647" s="4" t="n"/>
      <c r="J647" s="4" t="n"/>
      <c r="K647" s="4" t="n"/>
    </row>
    <row r="648">
      <c r="A648" s="2" t="n">
        <v>646</v>
      </c>
      <c r="B648" s="2" t="inlineStr">
        <is>
          <t>96:45.4</t>
        </is>
      </c>
      <c r="C648" s="2" t="inlineStr">
        <is>
          <t>もしかして</t>
        </is>
      </c>
      <c r="D648" s="5" t="inlineStr">
        <is>
          <t>따라함</t>
        </is>
      </c>
      <c r="E648" s="5" t="inlineStr">
        <is>
          <t>もしかして…</t>
        </is>
      </c>
      <c r="F648" s="5" t="inlineStr">
        <is>
          <t>맞음</t>
        </is>
      </c>
      <c r="G648" s="5" t="inlineStr"/>
      <c r="H648" s="3" t="inlineStr">
        <is>
          <t>はああ～！　あ～ / もしかして… / 私がまだキミを 本気で好きだと思っているの？</t>
        </is>
      </c>
      <c r="I648" s="4" t="n"/>
      <c r="J648" s="4" t="n"/>
      <c r="K648" s="4" t="n"/>
    </row>
    <row r="649">
      <c r="A649" s="2" t="n">
        <v>647</v>
      </c>
      <c r="B649" s="2" t="inlineStr">
        <is>
          <t>96:47.9</t>
        </is>
      </c>
      <c r="C649" s="2" t="inlineStr">
        <is>
          <t>아직도 내가 너를 진심으로 좋아한다고 생각해</t>
        </is>
      </c>
      <c r="D649" s="5" t="inlineStr">
        <is>
          <t>옮김</t>
        </is>
      </c>
      <c r="E649" s="5" t="inlineStr">
        <is>
          <t>私がまだキミを 本気で好きだと思っているの？</t>
        </is>
      </c>
      <c r="F649" s="5" t="inlineStr">
        <is>
          <t>맞음</t>
        </is>
      </c>
      <c r="G649" s="5" t="inlineStr"/>
      <c r="H649" s="3" t="inlineStr">
        <is>
          <t>はああ～！　あ～ / もしかして… / 私がまだキミを 本気で好きだと思っているの？</t>
        </is>
      </c>
      <c r="I649" s="4" t="n"/>
      <c r="J649" s="4" t="n"/>
      <c r="K649" s="4" t="n"/>
    </row>
    <row r="650">
      <c r="A650" s="2" t="n">
        <v>648</v>
      </c>
      <c r="B650" s="2" t="inlineStr">
        <is>
          <t>97:01.3</t>
        </is>
      </c>
      <c r="C650" s="2" t="inlineStr">
        <is>
          <t>표정이랑 얼굴이 빨개지는 홍조 어 홍조랑 다 구라라고</t>
        </is>
      </c>
      <c r="D650" s="5" t="inlineStr">
        <is>
          <t>옮김</t>
        </is>
      </c>
      <c r="E650" s="5" t="inlineStr">
        <is>
          <t>キミに会ってからの表情も 頬の赤らめも全部 嘘だよ</t>
        </is>
      </c>
      <c r="F650" s="5" t="inlineStr">
        <is>
          <t>맞음</t>
        </is>
      </c>
      <c r="G650" s="5" t="inlineStr"/>
      <c r="H650" s="3" t="inlineStr">
        <is>
          <t>もしかして… / 私がまだキミを 本気で好きだと思っているの？ / キミに会ってからの表情も 頬の赤らめも全部 嘘だよ</t>
        </is>
      </c>
      <c r="I650" s="4" t="n"/>
      <c r="J650" s="4" t="n"/>
      <c r="K650" s="4" t="n"/>
    </row>
    <row r="651">
      <c r="A651" s="2" t="n">
        <v>649</v>
      </c>
      <c r="B651" s="2" t="inlineStr">
        <is>
          <t>97:14.7</t>
        </is>
      </c>
      <c r="C651" s="2" t="inlineStr">
        <is>
          <t>나도 실패했다</t>
        </is>
      </c>
      <c r="D651" s="5" t="inlineStr">
        <is>
          <t>옮김</t>
        </is>
      </c>
      <c r="E651" s="5" t="inlineStr">
        <is>
          <t>私は失敗した</t>
        </is>
      </c>
      <c r="F651" s="5" t="inlineStr">
        <is>
          <t>맞음</t>
        </is>
      </c>
      <c r="G651" s="5" t="inlineStr"/>
      <c r="H651" s="3" t="inlineStr">
        <is>
          <t>なっ…！ / 私は失敗した / キミと戦うのに時間をかけすぎた</t>
        </is>
      </c>
      <c r="I651" s="4" t="n"/>
      <c r="J651" s="4" t="n"/>
      <c r="K651" s="4" t="n"/>
    </row>
    <row r="652">
      <c r="A652" s="2" t="n">
        <v>650</v>
      </c>
      <c r="B652" s="2" t="inlineStr">
        <is>
          <t>97:18.5</t>
        </is>
      </c>
      <c r="C652" s="2" t="inlineStr">
        <is>
          <t>음 피를 너무 많이 썼구나</t>
        </is>
      </c>
      <c r="D652" s="9" t="inlineStr">
        <is>
          <t>옮김</t>
        </is>
      </c>
      <c r="E652" s="9" t="inlineStr">
        <is>
          <t>キミと戦うのに時間をかけすぎた</t>
        </is>
      </c>
      <c r="F652" s="9" t="inlineStr">
        <is>
          <t>틀림</t>
        </is>
      </c>
      <c r="G652" s="9" t="inlineStr">
        <is>
          <t>시간을 너무 썼다 → 피를 너무 많이 썼다</t>
        </is>
      </c>
      <c r="H652" s="3" t="inlineStr">
        <is>
          <t>私は失敗した / キミと戦うのに時間をかけすぎた / じゃあ私は逃げるから</t>
        </is>
      </c>
      <c r="I652" s="4" t="n"/>
      <c r="J652" s="4" t="n"/>
      <c r="K652" s="4" t="n"/>
    </row>
    <row r="653">
      <c r="A653" s="2" t="n">
        <v>651</v>
      </c>
      <c r="B653" s="2" t="inlineStr">
        <is>
          <t>97:27.2</t>
        </is>
      </c>
      <c r="C653" s="3" t="inlineStr">
        <is>
          <t>가지 마</t>
        </is>
      </c>
      <c r="D653" s="3" t="inlineStr">
        <is>
          <t>반응·혼잣말</t>
        </is>
      </c>
      <c r="E653" s="2" t="inlineStr"/>
      <c r="F653" s="2" t="inlineStr"/>
      <c r="G653" s="2" t="inlineStr"/>
      <c r="H653" s="3" t="inlineStr">
        <is>
          <t>キミと戦うのに時間をかけすぎた / じゃあ私は逃げるから / （デンジ）一緒に逃げねえ？</t>
        </is>
      </c>
      <c r="I653" s="4" t="n"/>
      <c r="J653" s="4" t="n"/>
      <c r="K653" s="4" t="n"/>
    </row>
    <row r="654">
      <c r="A654" s="2" t="n">
        <v>652</v>
      </c>
      <c r="B654" s="2" t="inlineStr">
        <is>
          <t>97:32.6</t>
        </is>
      </c>
      <c r="C654" s="2" t="inlineStr">
        <is>
          <t>같이 안 도망가냐고</t>
        </is>
      </c>
      <c r="D654" s="5" t="inlineStr">
        <is>
          <t>옮김</t>
        </is>
      </c>
      <c r="E654" s="5" t="inlineStr">
        <is>
          <t>（デンジ）一緒に逃げねえ？</t>
        </is>
      </c>
      <c r="F654" s="5" t="inlineStr">
        <is>
          <t>맞음</t>
        </is>
      </c>
      <c r="G654" s="5" t="inlineStr"/>
      <c r="H654" s="3" t="inlineStr">
        <is>
          <t>（デンジ）一緒に逃げねえ？ / へ？ / （デンジ）俺も戦えるから 逃げれる確率あがるぜ</t>
        </is>
      </c>
      <c r="I654" s="4" t="n"/>
      <c r="J654" s="4" t="n"/>
      <c r="K654" s="4" t="n"/>
    </row>
    <row r="655">
      <c r="A655" s="2" t="n">
        <v>653</v>
      </c>
      <c r="B655" s="2" t="inlineStr">
        <is>
          <t>98:03.7</t>
        </is>
      </c>
      <c r="C655" s="2" t="inlineStr">
        <is>
          <t>수영을 가르쳐 준 거는</t>
        </is>
      </c>
      <c r="D655" s="5" t="inlineStr">
        <is>
          <t>옮김</t>
        </is>
      </c>
      <c r="E655" s="5" t="inlineStr">
        <is>
          <t>俺に泳ぎ方教えてくれたのは ホントだろ？</t>
        </is>
      </c>
      <c r="F655" s="5" t="inlineStr">
        <is>
          <t>맞음</t>
        </is>
      </c>
      <c r="G655" s="5" t="inlineStr"/>
      <c r="H655" s="3" t="inlineStr">
        <is>
          <t>まだ俺ぁ好きだし / 全部 嘘だっつーけど / 俺に泳ぎ方教えてくれたのは ホントだろ？</t>
        </is>
      </c>
      <c r="I655" s="4" t="n"/>
      <c r="J655" s="4" t="n"/>
      <c r="K655" s="4" t="n"/>
    </row>
    <row r="656">
      <c r="A656" s="2" t="n">
        <v>654</v>
      </c>
      <c r="B656" s="2" t="inlineStr">
        <is>
          <t>98:06.5</t>
        </is>
      </c>
      <c r="C656" s="2" t="inlineStr">
        <is>
          <t>진짜였잖아</t>
        </is>
      </c>
      <c r="D656" s="5" t="inlineStr">
        <is>
          <t>옮김</t>
        </is>
      </c>
      <c r="E656" s="5" t="inlineStr">
        <is>
          <t>俺に泳ぎ方教えてくれたのは ホントだろ？</t>
        </is>
      </c>
      <c r="F656" s="5" t="inlineStr">
        <is>
          <t>맞음</t>
        </is>
      </c>
      <c r="G656" s="5" t="inlineStr"/>
      <c r="H656" s="3" t="inlineStr">
        <is>
          <t>まだ俺ぁ好きだし / 全部 嘘だっつーけど / 俺に泳ぎ方教えてくれたのは ホントだろ？</t>
        </is>
      </c>
      <c r="I656" s="4" t="n"/>
      <c r="J656" s="4" t="n"/>
      <c r="K656" s="4" t="n"/>
    </row>
    <row r="657">
      <c r="A657" s="2" t="n">
        <v>655</v>
      </c>
      <c r="B657" s="2" t="inlineStr">
        <is>
          <t>98:41.6</t>
        </is>
      </c>
      <c r="C657" s="3" t="inlineStr">
        <is>
          <t>혀 잘린 적이 있어가지고.</t>
        </is>
      </c>
      <c r="D657" s="3" t="inlineStr">
        <is>
          <t>반응·혼잣말</t>
        </is>
      </c>
      <c r="E657" s="2" t="inlineStr"/>
      <c r="F657" s="2" t="inlineStr"/>
      <c r="G657" s="2" t="inlineStr"/>
      <c r="H657" s="3" t="inlineStr">
        <is>
          <t>（首をひねる音） （デンジ）あっ / （デンジ）ぐっ!!</t>
        </is>
      </c>
      <c r="I657" s="4" t="n"/>
      <c r="J657" s="4" t="n"/>
      <c r="K657" s="4" t="n"/>
    </row>
    <row r="658">
      <c r="A658" s="2" t="n">
        <v>656</v>
      </c>
      <c r="B658" s="2" t="inlineStr">
        <is>
          <t>99:17.0</t>
        </is>
      </c>
      <c r="C658" s="3" t="inlineStr">
        <is>
          <t>'카페에 갔지만 없다.' 가 되겠구만.</t>
        </is>
      </c>
      <c r="D658" s="3" t="inlineStr">
        <is>
          <t>반응·혼잣말</t>
        </is>
      </c>
      <c r="E658" s="2" t="inlineStr"/>
      <c r="F658" s="2" t="inlineStr"/>
      <c r="G658" s="2" t="inlineStr"/>
      <c r="H658" s="3" t="inlineStr">
        <is>
          <t>絶対に… / （デンジ）起きろ ビーム!! 手ェ動かねえ！ / 俺のエンジン吹かせ!!</t>
        </is>
      </c>
      <c r="I658" s="4" t="n"/>
      <c r="J658" s="4" t="n"/>
      <c r="K658" s="4" t="n"/>
    </row>
    <row r="659">
      <c r="A659" s="2" t="n">
        <v>657</v>
      </c>
      <c r="B659" s="2" t="inlineStr">
        <is>
          <t>100:11.9</t>
        </is>
      </c>
      <c r="C659" s="2" t="inlineStr">
        <is>
          <t>아 하나도 못 알아듣겠다 나나미.</t>
        </is>
      </c>
      <c r="D659" s="6" t="inlineStr">
        <is>
          <t>못알아들음</t>
        </is>
      </c>
      <c r="E659" s="6" t="inlineStr">
        <is>
          <t>軍の弾薬庫には 秘密の部屋があって / その部屋は親のいない子供達で</t>
        </is>
      </c>
      <c r="F659" s="6" t="inlineStr">
        <is>
          <t>못 알아들음</t>
        </is>
      </c>
      <c r="G659" s="6" t="inlineStr"/>
      <c r="H659" s="3" t="inlineStr">
        <is>
          <t>軍の弾薬庫には 秘密の部屋があって / その部屋は親のいない子供達で / ぎゅうぎゅうに あふれている</t>
        </is>
      </c>
      <c r="I659" s="4" t="n"/>
      <c r="J659" s="4" t="n"/>
      <c r="K659" s="4" t="n"/>
    </row>
    <row r="660">
      <c r="A660" s="2" t="n">
        <v>658</v>
      </c>
      <c r="B660" s="2" t="inlineStr">
        <is>
          <t>101:29.1</t>
        </is>
      </c>
      <c r="C660" s="3" t="inlineStr">
        <is>
          <t>新幹線.</t>
        </is>
      </c>
      <c r="D660" s="3" t="inlineStr">
        <is>
          <t>반응·혼잣말</t>
        </is>
      </c>
      <c r="E660" s="2" t="inlineStr"/>
      <c r="F660" s="2" t="inlineStr"/>
      <c r="G660" s="2" t="inlineStr"/>
      <c r="H660" s="3" t="inlineStr">
        <is>
          <t>（車掌）発車します やまびこ号仙台行きです / 発車です　ドアが閉まります / 閉まる扉にご注意ください</t>
        </is>
      </c>
      <c r="I660" s="4" t="n"/>
      <c r="J660" s="4" t="n"/>
      <c r="K660" s="4" t="n"/>
    </row>
    <row r="661">
      <c r="A661" s="2" t="n">
        <v>659</v>
      </c>
      <c r="B661" s="2" t="inlineStr">
        <is>
          <t>101:35.0</t>
        </is>
      </c>
      <c r="C661" s="3" t="inlineStr">
        <is>
          <t>뭐야 안 갔어?</t>
        </is>
      </c>
      <c r="D661" s="3" t="inlineStr">
        <is>
          <t>반응·혼잣말</t>
        </is>
      </c>
      <c r="E661" s="2" t="inlineStr"/>
      <c r="F661" s="2" t="inlineStr"/>
      <c r="G661" s="2" t="inlineStr"/>
      <c r="H661" s="3" t="inlineStr">
        <is>
          <t>（車掌）発車します やまびこ号仙台行きです / 発車です　ドアが閉まります / 閉まる扉にご注意ください</t>
        </is>
      </c>
      <c r="I661" s="4" t="n"/>
      <c r="J661" s="4" t="n"/>
      <c r="K661" s="4" t="n"/>
    </row>
    <row r="662">
      <c r="A662" s="2" t="n">
        <v>660</v>
      </c>
      <c r="B662" s="2" t="inlineStr">
        <is>
          <t>101:42.4</t>
        </is>
      </c>
      <c r="C662" s="3" t="inlineStr">
        <is>
          <t>카페.</t>
        </is>
      </c>
      <c r="D662" s="3" t="inlineStr">
        <is>
          <t>반응·혼잣말</t>
        </is>
      </c>
      <c r="E662" s="2" t="inlineStr"/>
      <c r="F662" s="2" t="inlineStr"/>
      <c r="G662" s="2" t="inlineStr"/>
      <c r="H662" s="3" t="inlineStr">
        <is>
          <t>（車掌）発車します やまびこ号仙台行きです / 発車です　ドアが閉まります / 閉まる扉にご注意ください</t>
        </is>
      </c>
      <c r="I662" s="4" t="n"/>
      <c r="J662" s="4" t="n"/>
      <c r="K662" s="4" t="n"/>
    </row>
    <row r="663">
      <c r="A663" s="2" t="n">
        <v>661</v>
      </c>
      <c r="B663" s="2" t="inlineStr">
        <is>
          <t>102:22.1</t>
        </is>
      </c>
      <c r="C663" s="3" t="inlineStr">
        <is>
          <t>ネズミ.</t>
        </is>
      </c>
      <c r="D663" s="3" t="inlineStr">
        <is>
          <t>반응·혼잣말</t>
        </is>
      </c>
      <c r="E663" s="2" t="inlineStr"/>
      <c r="F663" s="2" t="inlineStr"/>
      <c r="G663" s="2" t="inlineStr"/>
      <c r="H663" s="3" t="inlineStr"/>
      <c r="I663" s="4" t="n"/>
      <c r="J663" s="4" t="n"/>
      <c r="K663" s="4" t="n"/>
    </row>
    <row r="664">
      <c r="A664" s="2" t="n">
        <v>662</v>
      </c>
      <c r="B664" s="2" t="inlineStr">
        <is>
          <t>102:36.1</t>
        </is>
      </c>
      <c r="C664" s="3" t="inlineStr">
        <is>
          <t>오.</t>
        </is>
      </c>
      <c r="D664" s="3" t="inlineStr">
        <is>
          <t>소리·감탄</t>
        </is>
      </c>
      <c r="E664" s="2" t="inlineStr"/>
      <c r="F664" s="2" t="inlineStr"/>
      <c r="G664" s="2" t="inlineStr"/>
      <c r="H664" s="3" t="inlineStr">
        <is>
          <t>（マキマ）私も / はっ…！ / 私も田舎のネズミが好き</t>
        </is>
      </c>
      <c r="I664" s="4" t="n"/>
      <c r="J664" s="4" t="n"/>
      <c r="K664" s="4" t="n"/>
    </row>
    <row r="665">
      <c r="A665" s="2" t="n">
        <v>663</v>
      </c>
      <c r="B665" s="2" t="inlineStr">
        <is>
          <t>103:28.1</t>
        </is>
      </c>
      <c r="C665" s="3" t="inlineStr">
        <is>
          <t>아 여기서 레제 죽는 건가?</t>
        </is>
      </c>
      <c r="D665" s="3" t="inlineStr">
        <is>
          <t>반응·혼잣말</t>
        </is>
      </c>
      <c r="E665" s="2" t="inlineStr"/>
      <c r="F665" s="2" t="inlineStr"/>
      <c r="G665" s="2" t="inlineStr"/>
      <c r="H665" s="3" t="inlineStr">
        <is>
          <t>とても安心するの / （レゼ）うっ！　くは…！ / （マキマ） だから田舎のネズミが好き</t>
        </is>
      </c>
      <c r="I665" s="4" t="n"/>
      <c r="J665" s="4" t="n"/>
      <c r="K665" s="4" t="n"/>
    </row>
    <row r="666">
      <c r="A666" s="2" t="n">
        <v>664</v>
      </c>
      <c r="B666" s="2" t="inlineStr">
        <is>
          <t>103:38.1</t>
        </is>
      </c>
      <c r="C666" s="3" t="inlineStr">
        <is>
          <t>아 얘 능력인가?</t>
        </is>
      </c>
      <c r="D666" s="3" t="inlineStr">
        <is>
          <t>반응·혼잣말</t>
        </is>
      </c>
      <c r="E666" s="2" t="inlineStr"/>
      <c r="F666" s="2" t="inlineStr"/>
      <c r="G666" s="2" t="inlineStr"/>
      <c r="H666" s="3" t="inlineStr">
        <is>
          <t>とても安心するの / （レゼ）うっ！　くは…！ / （マキマ） だから田舎のネズミが好き</t>
        </is>
      </c>
      <c r="I666" s="4" t="n"/>
      <c r="J666" s="4" t="n"/>
      <c r="K666" s="4" t="n"/>
    </row>
    <row r="667">
      <c r="A667" s="2" t="n">
        <v>665</v>
      </c>
      <c r="B667" s="2" t="inlineStr">
        <is>
          <t>104:17.8</t>
        </is>
      </c>
      <c r="C667" s="3" t="inlineStr">
        <is>
          <t>아 이렇게 죽는 거야?</t>
        </is>
      </c>
      <c r="D667" s="3" t="inlineStr">
        <is>
          <t>반응·혼잣말</t>
        </is>
      </c>
      <c r="E667" s="2" t="inlineStr"/>
      <c r="F667" s="2" t="inlineStr"/>
      <c r="G667" s="2" t="inlineStr"/>
      <c r="H667" s="3" t="inlineStr">
        <is>
          <t>初めて出会った時に 殺さなかったんだろう / デンジ君　ホントはね / 私も学校いった事なかったの</t>
        </is>
      </c>
      <c r="I667" s="4" t="n"/>
      <c r="J667" s="4" t="n"/>
      <c r="K667" s="4" t="n"/>
    </row>
    <row r="668">
      <c r="A668" s="2" t="n">
        <v>666</v>
      </c>
      <c r="B668" s="2" t="inlineStr">
        <is>
          <t>105:01.0</t>
        </is>
      </c>
      <c r="C668" s="3" t="inlineStr">
        <is>
          <t>하아...</t>
        </is>
      </c>
      <c r="D668" s="3" t="inlineStr">
        <is>
          <t>반응·혼잣말</t>
        </is>
      </c>
      <c r="E668" s="2" t="inlineStr"/>
      <c r="F668" s="2" t="inlineStr"/>
      <c r="G668" s="2" t="inlineStr"/>
      <c r="H668" s="3" t="inlineStr">
        <is>
          <t>まあ 天使ですから / ねぇ… / 都会はいいトコかい？</t>
        </is>
      </c>
      <c r="I668" s="4" t="n"/>
      <c r="J668" s="4" t="n"/>
      <c r="K668" s="4" t="n"/>
    </row>
    <row r="669">
      <c r="A669" s="2" t="n">
        <v>667</v>
      </c>
      <c r="B669" s="2" t="inlineStr">
        <is>
          <t>105:14.8</t>
        </is>
      </c>
      <c r="C669" s="3" t="inlineStr">
        <is>
          <t>하아...</t>
        </is>
      </c>
      <c r="D669" s="3" t="inlineStr">
        <is>
          <t>반응·혼잣말</t>
        </is>
      </c>
      <c r="E669" s="2" t="inlineStr"/>
      <c r="F669" s="2" t="inlineStr"/>
      <c r="G669" s="2" t="inlineStr"/>
      <c r="H669" s="3" t="inlineStr">
        <is>
          <t>都会はいいトコかい？ / ♪ まるでこの世界で / ♪ 二人だけみたいだね</t>
        </is>
      </c>
      <c r="I669" s="4" t="n"/>
      <c r="J669" s="4" t="n"/>
      <c r="K669" s="4" t="n"/>
    </row>
    <row r="670">
      <c r="A670" s="2" t="n">
        <v>668</v>
      </c>
      <c r="B670" s="2" t="inlineStr">
        <is>
          <t>105:17.4</t>
        </is>
      </c>
      <c r="C670" s="3" t="inlineStr">
        <is>
          <t>아쉽다</t>
        </is>
      </c>
      <c r="D670" s="3" t="inlineStr">
        <is>
          <t>반응·혼잣말</t>
        </is>
      </c>
      <c r="E670" s="2" t="inlineStr"/>
      <c r="F670" s="2" t="inlineStr"/>
      <c r="G670" s="2" t="inlineStr"/>
      <c r="H670" s="3" t="inlineStr">
        <is>
          <t>♪ まるでこの世界で / ♪ 二人だけみたいだね / ♪ なんて少しだけ</t>
        </is>
      </c>
      <c r="I670" s="4" t="n"/>
      <c r="J670" s="4" t="n"/>
      <c r="K670" s="4" t="n"/>
    </row>
  </sheetData>
  <autoFilter ref="A1:K670"/>
  <dataValidations count="2">
    <dataValidation sqref="I2:I670" showDropDown="0" showInputMessage="0" showErrorMessage="0" allowBlank="1" type="list">
      <formula1>"맞게 봄,판정 틀림"</formula1>
    </dataValidation>
    <dataValidation sqref="J2:J670" showDropDown="0" showInputMessage="0" showErrorMessage="0" allowBlank="1" type="list">
      <formula1>"맞음,대체로 맞음,조금 맞음,틀림,못 알아들음,판정 안 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1편 청해 판정 요약 (녹화 0:00~105:25, 내 말 669줄)</t>
        </is>
      </c>
      <c r="B1" s="13" t="n"/>
      <c r="C1" s="13" t="n"/>
      <c r="D1" s="13" t="n"/>
      <c r="E1" s="13" t="n"/>
      <c r="F1" s="13" t="n"/>
      <c r="G1" s="13" t="n"/>
    </row>
    <row r="2">
      <c r="A2" s="14" t="n"/>
      <c r="B2" s="14" t="n"/>
      <c r="C2" s="14" t="n"/>
      <c r="D2" s="14" t="n"/>
      <c r="E2" s="14" t="n"/>
      <c r="F2" s="14" t="n"/>
      <c r="G2" s="14" t="n"/>
    </row>
    <row r="3">
      <c r="A3" s="13" t="inlineStr">
        <is>
          <t>유형</t>
        </is>
      </c>
      <c r="B3" s="13" t="inlineStr">
        <is>
          <t>줄 수</t>
        </is>
      </c>
      <c r="C3" s="13" t="n"/>
      <c r="D3" s="13" t="n"/>
      <c r="E3" s="13" t="n"/>
      <c r="F3" s="13" t="n"/>
      <c r="G3" s="13" t="n"/>
    </row>
    <row r="4">
      <c r="A4" s="14" t="inlineStr">
        <is>
          <t>따라함</t>
        </is>
      </c>
      <c r="B4" s="14">
        <f>COUNTIF(판정!D:D,"따라함")</f>
        <v/>
      </c>
      <c r="C4" s="14" t="n"/>
      <c r="D4" s="14" t="n"/>
      <c r="E4" s="14" t="n"/>
      <c r="F4" s="14" t="n"/>
      <c r="G4" s="14" t="n"/>
    </row>
    <row r="5">
      <c r="A5" s="14" t="inlineStr">
        <is>
          <t>옮김</t>
        </is>
      </c>
      <c r="B5" s="14">
        <f>COUNTIF(판정!D:D,"옮김")</f>
        <v/>
      </c>
      <c r="C5" s="14" t="n"/>
      <c r="D5" s="14" t="n"/>
      <c r="E5" s="14" t="n"/>
      <c r="F5" s="14" t="n"/>
      <c r="G5" s="14" t="n"/>
    </row>
    <row r="6">
      <c r="A6" s="14" t="inlineStr">
        <is>
          <t>추측</t>
        </is>
      </c>
      <c r="B6" s="14">
        <f>COUNTIF(판정!D:D,"추측")</f>
        <v/>
      </c>
      <c r="C6" s="14" t="n"/>
      <c r="D6" s="14" t="n"/>
      <c r="E6" s="14" t="n"/>
      <c r="F6" s="14" t="n"/>
      <c r="G6" s="14" t="n"/>
    </row>
    <row r="7">
      <c r="A7" s="14" t="inlineStr">
        <is>
          <t>못알아들음</t>
        </is>
      </c>
      <c r="B7" s="14">
        <f>COUNTIF(판정!D:D,"못알아들음")</f>
        <v/>
      </c>
      <c r="C7" s="14" t="n"/>
      <c r="D7" s="14" t="n"/>
      <c r="E7" s="14" t="n"/>
      <c r="F7" s="14" t="n"/>
      <c r="G7" s="14" t="n"/>
    </row>
    <row r="8">
      <c r="A8" s="14" t="inlineStr">
        <is>
          <t>읽기</t>
        </is>
      </c>
      <c r="B8" s="14">
        <f>COUNTIF(판정!D:D,"읽기")</f>
        <v/>
      </c>
      <c r="C8" s="14" t="n"/>
      <c r="D8" s="14" t="n"/>
      <c r="E8" s="14" t="n"/>
      <c r="F8" s="14" t="n"/>
      <c r="G8" s="14" t="n"/>
    </row>
    <row r="9">
      <c r="A9" s="14" t="inlineStr">
        <is>
          <t>기타</t>
        </is>
      </c>
      <c r="B9" s="14">
        <f>COUNTIF(판정!D:D,"기타")</f>
        <v/>
      </c>
      <c r="C9" s="14" t="n"/>
      <c r="D9" s="14" t="n"/>
      <c r="E9" s="14" t="n"/>
      <c r="F9" s="14" t="n"/>
      <c r="G9" s="14" t="n"/>
    </row>
    <row r="10">
      <c r="A10" s="14" t="inlineStr">
        <is>
          <t>반응·혼잣말</t>
        </is>
      </c>
      <c r="B10" s="14">
        <f>COUNTIF(판정!D:D,"반응·혼잣말")</f>
        <v/>
      </c>
      <c r="C10" s="14" t="n"/>
      <c r="D10" s="14" t="n"/>
      <c r="E10" s="14" t="n"/>
      <c r="F10" s="14" t="n"/>
      <c r="G10" s="14" t="n"/>
    </row>
    <row r="11">
      <c r="A11" s="14" t="inlineStr">
        <is>
          <t>소리·감탄</t>
        </is>
      </c>
      <c r="B11" s="14">
        <f>COUNTIF(판정!D:D,"소리·감탄")</f>
        <v/>
      </c>
      <c r="C11" s="14" t="n"/>
      <c r="D11" s="14" t="n"/>
      <c r="E11" s="14" t="n"/>
      <c r="F11" s="14" t="n"/>
      <c r="G11" s="14" t="n"/>
    </row>
    <row r="12">
      <c r="A12" s="14" t="inlineStr">
        <is>
          <t>합계</t>
        </is>
      </c>
      <c r="B12" s="14">
        <f>SUM(B4:B11)</f>
        <v/>
      </c>
      <c r="C12" s="14" t="n"/>
      <c r="D12" s="14" t="n"/>
      <c r="E12" s="14" t="n"/>
      <c r="F12" s="14" t="n"/>
      <c r="G12" s="14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4" t="inlineStr">
        <is>
          <t>판정 (대사에 반응한 줄)</t>
        </is>
      </c>
      <c r="B14" s="14" t="inlineStr">
        <is>
          <t>따라함</t>
        </is>
      </c>
      <c r="C14" s="14" t="inlineStr">
        <is>
          <t>옮김</t>
        </is>
      </c>
      <c r="D14" s="14" t="inlineStr">
        <is>
          <t>추측</t>
        </is>
      </c>
      <c r="E14" s="14" t="inlineStr">
        <is>
          <t>모르겠다고 함</t>
        </is>
      </c>
      <c r="F14" s="14" t="inlineStr">
        <is>
          <t>합계</t>
        </is>
      </c>
      <c r="G14" s="15" t="inlineStr">
        <is>
          <t>비율</t>
        </is>
      </c>
    </row>
    <row r="15">
      <c r="A15" s="14" t="inlineStr">
        <is>
          <t>맞음</t>
        </is>
      </c>
      <c r="B15" s="14">
        <f>COUNTIFS(판정!D:D,"따라함",판정!F:F,"맞음")</f>
        <v/>
      </c>
      <c r="C15" s="14">
        <f>COUNTIFS(판정!D:D,"옮김",판정!F:F,"맞음")</f>
        <v/>
      </c>
      <c r="D15" s="14">
        <f>COUNTIFS(판정!D:D,"추측",판정!F:F,"맞음")</f>
        <v/>
      </c>
      <c r="E15" s="14">
        <f>COUNTIFS(판정!D:D,"못알아들음",판정!F:F,"맞음")</f>
        <v/>
      </c>
      <c r="F15" s="14">
        <f>SUM(B14:E14)</f>
        <v/>
      </c>
      <c r="G15" s="15">
        <f>IF(F20=0,0,F14/F20)</f>
        <v/>
      </c>
    </row>
    <row r="16">
      <c r="A16" s="14" t="inlineStr">
        <is>
          <t>대체로 맞음</t>
        </is>
      </c>
      <c r="B16" s="14">
        <f>COUNTIFS(판정!D:D,"따라함",판정!F:F,"대체로 맞음")</f>
        <v/>
      </c>
      <c r="C16" s="14">
        <f>COUNTIFS(판정!D:D,"옮김",판정!F:F,"대체로 맞음")</f>
        <v/>
      </c>
      <c r="D16" s="14">
        <f>COUNTIFS(판정!D:D,"추측",판정!F:F,"대체로 맞음")</f>
        <v/>
      </c>
      <c r="E16" s="14">
        <f>COUNTIFS(판정!D:D,"못알아들음",판정!F:F,"대체로 맞음")</f>
        <v/>
      </c>
      <c r="F16" s="14">
        <f>SUM(B15:E15)</f>
        <v/>
      </c>
      <c r="G16" s="15">
        <f>IF(F20=0,0,F15/F20)</f>
        <v/>
      </c>
    </row>
    <row r="17">
      <c r="A17" s="14" t="inlineStr">
        <is>
          <t>조금 맞음</t>
        </is>
      </c>
      <c r="B17" s="14">
        <f>COUNTIFS(판정!D:D,"따라함",판정!F:F,"조금 맞음")</f>
        <v/>
      </c>
      <c r="C17" s="14">
        <f>COUNTIFS(판정!D:D,"옮김",판정!F:F,"조금 맞음")</f>
        <v/>
      </c>
      <c r="D17" s="14">
        <f>COUNTIFS(판정!D:D,"추측",판정!F:F,"조금 맞음")</f>
        <v/>
      </c>
      <c r="E17" s="14">
        <f>COUNTIFS(판정!D:D,"못알아들음",판정!F:F,"조금 맞음")</f>
        <v/>
      </c>
      <c r="F17" s="14">
        <f>SUM(B16:E16)</f>
        <v/>
      </c>
      <c r="G17" s="15">
        <f>IF(F20=0,0,F16/F20)</f>
        <v/>
      </c>
    </row>
    <row r="18">
      <c r="A18" s="14" t="inlineStr">
        <is>
          <t>틀림</t>
        </is>
      </c>
      <c r="B18" s="14">
        <f>COUNTIFS(판정!D:D,"따라함",판정!F:F,"틀림")</f>
        <v/>
      </c>
      <c r="C18" s="14">
        <f>COUNTIFS(판정!D:D,"옮김",판정!F:F,"틀림")</f>
        <v/>
      </c>
      <c r="D18" s="14">
        <f>COUNTIFS(판정!D:D,"추측",판정!F:F,"틀림")</f>
        <v/>
      </c>
      <c r="E18" s="14">
        <f>COUNTIFS(판정!D:D,"못알아들음",판정!F:F,"틀림")</f>
        <v/>
      </c>
      <c r="F18" s="14">
        <f>SUM(B17:E17)</f>
        <v/>
      </c>
      <c r="G18" s="15">
        <f>IF(F20=0,0,F17/F20)</f>
        <v/>
      </c>
    </row>
    <row r="19">
      <c r="A19" s="14" t="inlineStr">
        <is>
          <t>못 알아들음</t>
        </is>
      </c>
      <c r="B19" s="14">
        <f>COUNTIFS(판정!D:D,"따라함",판정!F:F,"못 알아들음")</f>
        <v/>
      </c>
      <c r="C19" s="14">
        <f>COUNTIFS(판정!D:D,"옮김",판정!F:F,"못 알아들음")</f>
        <v/>
      </c>
      <c r="D19" s="14">
        <f>COUNTIFS(판정!D:D,"추측",판정!F:F,"못 알아들음")</f>
        <v/>
      </c>
      <c r="E19" s="14">
        <f>COUNTIFS(판정!D:D,"못알아들음",판정!F:F,"못 알아들음")</f>
        <v/>
      </c>
      <c r="F19" s="14">
        <f>SUM(B18:E18)</f>
        <v/>
      </c>
      <c r="G19" s="15">
        <f>IF(F20=0,0,F18/F20)</f>
        <v/>
      </c>
    </row>
    <row r="20">
      <c r="A20" s="14" t="inlineStr">
        <is>
          <t>확인 불가</t>
        </is>
      </c>
      <c r="B20" s="14">
        <f>COUNTIFS(판정!D:D,"따라함",판정!F:F,"확인 불가")</f>
        <v/>
      </c>
      <c r="C20" s="14">
        <f>COUNTIFS(판정!D:D,"옮김",판정!F:F,"확인 불가")</f>
        <v/>
      </c>
      <c r="D20" s="14">
        <f>COUNTIFS(판정!D:D,"추측",판정!F:F,"확인 불가")</f>
        <v/>
      </c>
      <c r="E20" s="14">
        <f>COUNTIFS(판정!D:D,"못알아들음",판정!F:F,"확인 불가")</f>
        <v/>
      </c>
      <c r="F20" s="14">
        <f>SUM(B19:E19)</f>
        <v/>
      </c>
      <c r="G20" s="15">
        <f>IF(F20=0,0,F19/F20)</f>
        <v/>
      </c>
    </row>
    <row r="21">
      <c r="A21" s="14" t="inlineStr">
        <is>
          <t>합계</t>
        </is>
      </c>
      <c r="B21" s="14">
        <f>SUM(B14:B19)</f>
        <v/>
      </c>
      <c r="C21" s="14">
        <f>SUM(C14:C19)</f>
        <v/>
      </c>
      <c r="D21" s="14">
        <f>SUM(D14:D19)</f>
        <v/>
      </c>
      <c r="E21" s="14">
        <f>SUM(E14:E19)</f>
        <v/>
      </c>
      <c r="F21" s="14">
        <f>SUM(F14:F19)</f>
        <v/>
      </c>
      <c r="G21" s="14" t="inlineStr"/>
    </row>
    <row r="22">
      <c r="A22" s="14" t="n"/>
      <c r="B22" s="15" t="n"/>
      <c r="C22" s="14" t="n"/>
      <c r="D22" s="14" t="n"/>
      <c r="E22" s="14" t="n"/>
      <c r="F22" s="14" t="n"/>
      <c r="G22" s="14" t="n"/>
    </row>
    <row r="23">
      <c r="A23" s="14" t="inlineStr">
        <is>
          <t>맞음+대체로 맞음 비율</t>
        </is>
      </c>
      <c r="B23" s="14">
        <f>IF(F20=0,0,(F14+F15)/F20)</f>
        <v/>
      </c>
      <c r="C23" s="14" t="n"/>
      <c r="D23" s="14" t="n"/>
      <c r="E23" s="14" t="n"/>
      <c r="F23" s="14" t="n"/>
      <c r="G23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2" t="inlineStr">
        <is>
          <t>청해 판정표 보는 법</t>
        </is>
      </c>
    </row>
    <row r="2">
      <c r="A2" s="16" t="n"/>
      <c r="B2" s="2" t="n"/>
    </row>
    <row r="3">
      <c r="A3" s="16" t="inlineStr">
        <is>
          <t>무엇</t>
        </is>
      </c>
      <c r="B3" s="2" t="inlineStr">
        <is>
          <t>내 말(사용자가 고친 자막 669줄)마다, 그 순간과 바로 앞의 애니 대사를 짝지어 두고, 대사를 옮기거나 따라 한 줄에 판정을 붙였다. 판정은 Claude가 했다.</t>
        </is>
      </c>
    </row>
    <row r="4">
      <c r="A4" s="16" t="inlineStr">
        <is>
          <t>유형</t>
        </is>
      </c>
      <c r="B4" s="2" t="inlineStr">
        <is>
          <t>따라함 = 일본어를 그대로 따라 말함 / 옮김 = 한국어로 뜻을 말함 / 추측 = 모르는 말의 뜻을 짐작함(~라는 말인가?) / 못알아들음 = 모르겠다고 말함 / 읽기 = 화면 글자를 읽음 / 기타 = AI 설명을 읽는 등 / 반응·혼잣말, 소리·감탄 = 판정 안 함(회색)</t>
        </is>
      </c>
    </row>
    <row r="5">
      <c r="A5" s="16" t="inlineStr">
        <is>
          <t>판정</t>
        </is>
      </c>
      <c r="B5" s="2" t="inlineStr">
        <is>
          <t>맞음(초록) / 대체로 맞음(연초록, 뜻은 맞고 말이 조금 다름) / 조금 맞음(노랑, 일부만 맞음) / 틀림(주황) / 못 알아들음(파랑, 모르겠다고 말함) / 확인 불가(회색, 짝지을 대사를 못 찾음)</t>
        </is>
      </c>
    </row>
    <row r="6">
      <c r="A6" s="16" t="inlineStr">
        <is>
          <t>대상 애니 대사</t>
        </is>
      </c>
      <c r="B6" s="2" t="inlineStr">
        <is>
          <t>판정한 기준 대사. 공식 일본어 자막(SDH)에서 가져왔다. [추정]은 녹화 시각을 앞뒤 대사로 짐작한 줄.</t>
        </is>
      </c>
    </row>
    <row r="7">
      <c r="A7" s="16" t="inlineStr">
        <is>
          <t>그 순간 애니 대사(참고)</t>
        </is>
      </c>
      <c r="B7" s="2" t="inlineStr">
        <is>
          <t>내 말 직전 30초 안의 애니 대사 최대 3줄(회색).</t>
        </is>
      </c>
    </row>
    <row r="8">
      <c r="A8" s="16" t="inlineStr">
        <is>
          <t>채울 칸</t>
        </is>
      </c>
      <c r="B8" s="2" t="inlineStr">
        <is>
          <t>노란 칸만. 사용자 확인: 판정이 맞으면 "맞게 봄", 아니면 "판정 틀림"을 고르고 고친 판정을 고른다. 메모는 자유. 전부 볼 필요 없이 판정이 이상한 줄만 채워도 된다.</t>
        </is>
      </c>
    </row>
    <row r="9">
      <c r="A9" s="16" t="inlineStr">
        <is>
          <t>예시</t>
        </is>
      </c>
      <c r="B9" s="2" t="inlineStr">
        <is>
          <t>번호 232, 27:13 "아침에는" → 판정 "틀림"(아침에만 손님이 온다를 반대로 옮김). 그렇게 들은 게 아니면 "판정 틀림", 고친 판정 "대체로 맞음", 메모에 이유.</t>
        </is>
      </c>
    </row>
    <row r="10">
      <c r="A10" s="16" t="inlineStr">
        <is>
          <t>요약 시트</t>
        </is>
      </c>
      <c r="B10" s="2" t="inlineStr">
        <is>
          <t>유형별 줄 수와 판정 비율. 판정 시트를 고치면 다시 계산된다(판정 칸 F를 고칠 때).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2026-09-28T17:03:28Z</dcterms:created>
  <dcterms:modified xsi:type="dcterms:W3CDTF">2026-09-28T17:03:28Z</dcterms:modified>
</cp:coreProperties>
</file>